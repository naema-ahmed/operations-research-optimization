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0F0393286AF801/Documents/"/>
    </mc:Choice>
  </mc:AlternateContent>
  <xr:revisionPtr revIDLastSave="43903" documentId="8_{34CF5A9E-C7EB-44AC-A152-5B7D6EAB56B9}" xr6:coauthVersionLast="47" xr6:coauthVersionMax="47" xr10:uidLastSave="{3EF0A191-BEA0-4B80-BB15-FB2956A6A4E7}"/>
  <bookViews>
    <workbookView minimized="1" xWindow="5950" yWindow="3060" windowWidth="4340" windowHeight="4160" xr2:uid="{32FD1AEB-ABCD-400F-835E-D928B74D6ED7}"/>
  </bookViews>
  <sheets>
    <sheet name="doubled tariffs (A-B)" sheetId="5" r:id="rId1"/>
    <sheet name="final Q1" sheetId="4" r:id="rId2"/>
  </sheets>
  <definedNames>
    <definedName name="solver_adj" localSheetId="0" hidden="1">'doubled tariffs (A-B)'!$C$5:$CB$5</definedName>
    <definedName name="solver_adj" localSheetId="1" hidden="1">'final Q1'!$C$5:$CB$5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'doubled tariffs (A-B)'!$CE$11:$CE$52</definedName>
    <definedName name="solver_lhs1" localSheetId="1" hidden="1">'final Q1'!$CE$10:$CE$51</definedName>
    <definedName name="solver_lhs2" localSheetId="0" hidden="1">'doubled tariffs (A-B)'!$CE$53:$CE$58</definedName>
    <definedName name="solver_lhs2" localSheetId="1" hidden="1">'final Q1'!$CE$52:$CE$57</definedName>
    <definedName name="solver_lhs3" localSheetId="0" hidden="1">'doubled tariffs (A-B)'!$CE$59:$CE$76</definedName>
    <definedName name="solver_lhs3" localSheetId="1" hidden="1">'final Q1'!$CE$58:$CE$75</definedName>
    <definedName name="solver_lhs4" localSheetId="0" hidden="1">'doubled tariffs (A-B)'!$CE$77:$CE$94</definedName>
    <definedName name="solver_lhs4" localSheetId="1" hidden="1">'final Q1'!$CE$76:$CE$93</definedName>
    <definedName name="solver_lhs5" localSheetId="0" hidden="1">'doubled tariffs (A-B)'!$CE$77:$CE$94</definedName>
    <definedName name="solver_lhs5" localSheetId="1" hidden="1">'final Q1'!$CE$76:$CE$93</definedName>
    <definedName name="solver_lhs6" localSheetId="0" hidden="1">'doubled tariffs (A-B)'!$C$16:$BI$16</definedName>
    <definedName name="solver_lhs6" localSheetId="1" hidden="1">'final Q1'!$C$15:$BI$15</definedName>
    <definedName name="solver_lhs7" localSheetId="0" hidden="1">'doubled tariffs (A-B)'!$C$17:$BI$17</definedName>
    <definedName name="solver_lhs7" localSheetId="1" hidden="1">'final Q1'!$C$16:$BI$16</definedName>
    <definedName name="solver_lhs8" localSheetId="0" hidden="1">'doubled tariffs (A-B)'!$C$18:$BI$18</definedName>
    <definedName name="solver_lhs8" localSheetId="1" hidden="1">'final Q1'!$C$17:$BI$17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'doubled tariffs (A-B)'!$CE$5</definedName>
    <definedName name="solver_opt" localSheetId="1" hidden="1">'final Q1'!$CE$5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3</definedName>
    <definedName name="solver_rel2" localSheetId="1" hidden="1">3</definedName>
    <definedName name="solver_rel3" localSheetId="0" hidden="1">2</definedName>
    <definedName name="solver_rel3" localSheetId="1" hidden="1">2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5" localSheetId="1" hidden="1">1</definedName>
    <definedName name="solver_rel6" localSheetId="0" hidden="1">1</definedName>
    <definedName name="solver_rel6" localSheetId="1" hidden="1">1</definedName>
    <definedName name="solver_rel7" localSheetId="0" hidden="1">1</definedName>
    <definedName name="solver_rel7" localSheetId="1" hidden="1">1</definedName>
    <definedName name="solver_rel8" localSheetId="0" hidden="1">1</definedName>
    <definedName name="solver_rel8" localSheetId="1" hidden="1">1</definedName>
    <definedName name="solver_rhs1" localSheetId="0" hidden="1">'doubled tariffs (A-B)'!$CH$11:$CH$52</definedName>
    <definedName name="solver_rhs1" localSheetId="1" hidden="1">'final Q1'!$CH$10:$CH$51</definedName>
    <definedName name="solver_rhs2" localSheetId="0" hidden="1">'doubled tariffs (A-B)'!$CH$53:$CH$58</definedName>
    <definedName name="solver_rhs2" localSheetId="1" hidden="1">'final Q1'!$CH$52:$CH$57</definedName>
    <definedName name="solver_rhs3" localSheetId="0" hidden="1">'doubled tariffs (A-B)'!$CH$59:$CH$76</definedName>
    <definedName name="solver_rhs3" localSheetId="1" hidden="1">'final Q1'!$CH$58:$CH$75</definedName>
    <definedName name="solver_rhs4" localSheetId="0" hidden="1">'doubled tariffs (A-B)'!$CH$77:$CH$94</definedName>
    <definedName name="solver_rhs4" localSheetId="1" hidden="1">'final Q1'!$CH$76:$CH$93</definedName>
    <definedName name="solver_rhs5" localSheetId="0" hidden="1">'doubled tariffs (A-B)'!$CH$77:$CH$94</definedName>
    <definedName name="solver_rhs5" localSheetId="1" hidden="1">'final Q1'!$CH$76:$CH$93</definedName>
    <definedName name="solver_rhs6" localSheetId="0" hidden="1">'doubled tariffs (A-B)'!$CE$16</definedName>
    <definedName name="solver_rhs6" localSheetId="1" hidden="1">'final Q1'!$CE$15</definedName>
    <definedName name="solver_rhs7" localSheetId="0" hidden="1">'doubled tariffs (A-B)'!$CE$17</definedName>
    <definedName name="solver_rhs7" localSheetId="1" hidden="1">'final Q1'!$CE$16</definedName>
    <definedName name="solver_rhs8" localSheetId="0" hidden="1">'doubled tariffs (A-B)'!$CE$18</definedName>
    <definedName name="solver_rhs8" localSheetId="1" hidden="1">'final Q1'!$CE$17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6" i="5" l="1"/>
  <c r="CE94" i="5"/>
  <c r="CE93" i="5"/>
  <c r="CE92" i="5"/>
  <c r="CE91" i="5"/>
  <c r="CE90" i="5"/>
  <c r="CE89" i="5"/>
  <c r="CE88" i="5"/>
  <c r="CE87" i="5"/>
  <c r="CE86" i="5"/>
  <c r="CE85" i="5"/>
  <c r="CE84" i="5"/>
  <c r="CE83" i="5"/>
  <c r="CE82" i="5"/>
  <c r="CE81" i="5"/>
  <c r="CE80" i="5"/>
  <c r="CE79" i="5"/>
  <c r="CE78" i="5"/>
  <c r="CE77" i="5"/>
  <c r="CE76" i="5"/>
  <c r="CE75" i="5"/>
  <c r="CE74" i="5"/>
  <c r="CE73" i="5"/>
  <c r="CE72" i="5"/>
  <c r="CE71" i="5"/>
  <c r="CE70" i="5"/>
  <c r="CE69" i="5"/>
  <c r="CE68" i="5"/>
  <c r="CE67" i="5"/>
  <c r="CE66" i="5"/>
  <c r="CE65" i="5"/>
  <c r="CE64" i="5"/>
  <c r="CE63" i="5"/>
  <c r="CE62" i="5"/>
  <c r="CE61" i="5"/>
  <c r="CE60" i="5"/>
  <c r="CE59" i="5"/>
  <c r="CE58" i="5"/>
  <c r="CE57" i="5"/>
  <c r="CE56" i="5"/>
  <c r="CE55" i="5"/>
  <c r="CE54" i="5"/>
  <c r="CE53" i="5"/>
  <c r="CE52" i="5"/>
  <c r="CE51" i="5"/>
  <c r="CE50" i="5"/>
  <c r="CE49" i="5"/>
  <c r="CE48" i="5"/>
  <c r="CE47" i="5"/>
  <c r="CE46" i="5"/>
  <c r="CE45" i="5"/>
  <c r="CE44" i="5"/>
  <c r="CE43" i="5"/>
  <c r="CE42" i="5"/>
  <c r="CE41" i="5"/>
  <c r="CE40" i="5"/>
  <c r="CE39" i="5"/>
  <c r="CE38" i="5"/>
  <c r="CE37" i="5"/>
  <c r="CE36" i="5"/>
  <c r="CE35" i="5"/>
  <c r="CE34" i="5"/>
  <c r="CE33" i="5"/>
  <c r="CE32" i="5"/>
  <c r="CE31" i="5"/>
  <c r="CE30" i="5"/>
  <c r="CE29" i="5"/>
  <c r="CE28" i="5"/>
  <c r="CE27" i="5"/>
  <c r="CE26" i="5"/>
  <c r="CE25" i="5"/>
  <c r="CE24" i="5"/>
  <c r="CE23" i="5"/>
  <c r="CE22" i="5"/>
  <c r="CE21" i="5"/>
  <c r="CE20" i="5"/>
  <c r="CE19" i="5"/>
  <c r="CE18" i="5"/>
  <c r="CE17" i="5"/>
  <c r="CE16" i="5"/>
  <c r="CE15" i="5"/>
  <c r="CE14" i="5"/>
  <c r="CE13" i="5"/>
  <c r="CE12" i="5"/>
  <c r="CE11" i="5"/>
  <c r="CE5" i="5"/>
  <c r="B8" i="5" s="1"/>
  <c r="CE77" i="4"/>
  <c r="CE5" i="4"/>
  <c r="B7" i="4"/>
  <c r="CE12" i="4"/>
  <c r="CE76" i="4"/>
  <c r="CE83" i="4"/>
  <c r="CE93" i="4"/>
  <c r="CE89" i="4"/>
  <c r="CE58" i="4"/>
  <c r="CE92" i="4"/>
  <c r="CE91" i="4"/>
  <c r="CE90" i="4"/>
  <c r="CE88" i="4"/>
  <c r="CE87" i="4"/>
  <c r="CE86" i="4"/>
  <c r="CE85" i="4"/>
  <c r="CE84" i="4"/>
  <c r="CE82" i="4"/>
  <c r="CE81" i="4"/>
  <c r="CE80" i="4"/>
  <c r="CE79" i="4"/>
  <c r="CE78" i="4"/>
  <c r="CE75" i="4"/>
  <c r="CE74" i="4"/>
  <c r="CE73" i="4"/>
  <c r="CE72" i="4"/>
  <c r="CE71" i="4"/>
  <c r="CE70" i="4"/>
  <c r="CE69" i="4"/>
  <c r="CE68" i="4"/>
  <c r="CE67" i="4"/>
  <c r="CE66" i="4"/>
  <c r="CE65" i="4"/>
  <c r="CE64" i="4"/>
  <c r="CE63" i="4"/>
  <c r="CE62" i="4"/>
  <c r="CE61" i="4"/>
  <c r="CE60" i="4"/>
  <c r="CE59" i="4"/>
  <c r="CE57" i="4"/>
  <c r="CE56" i="4"/>
  <c r="CE55" i="4"/>
  <c r="CE54" i="4"/>
  <c r="CE53" i="4"/>
  <c r="CE52" i="4"/>
  <c r="CE51" i="4"/>
  <c r="CE50" i="4"/>
  <c r="CE49" i="4"/>
  <c r="CE48" i="4"/>
  <c r="CE47" i="4"/>
  <c r="CE46" i="4"/>
  <c r="CE45" i="4"/>
  <c r="CE44" i="4"/>
  <c r="CE43" i="4"/>
  <c r="CE42" i="4"/>
  <c r="CE41" i="4"/>
  <c r="CE40" i="4"/>
  <c r="CE39" i="4"/>
  <c r="CE38" i="4"/>
  <c r="CE37" i="4"/>
  <c r="CE36" i="4"/>
  <c r="CE35" i="4"/>
  <c r="CE34" i="4"/>
  <c r="CE33" i="4"/>
  <c r="CE32" i="4"/>
  <c r="CE31" i="4"/>
  <c r="CE30" i="4"/>
  <c r="CE29" i="4"/>
  <c r="CE28" i="4"/>
  <c r="CE27" i="4"/>
  <c r="CE26" i="4"/>
  <c r="CE25" i="4"/>
  <c r="CE24" i="4"/>
  <c r="CE23" i="4"/>
  <c r="CE22" i="4"/>
  <c r="CE21" i="4"/>
  <c r="CE20" i="4"/>
  <c r="CE19" i="4"/>
  <c r="CE18" i="4"/>
  <c r="CE17" i="4"/>
  <c r="CE16" i="4"/>
  <c r="CE15" i="4"/>
  <c r="CE14" i="4"/>
  <c r="CE13" i="4"/>
  <c r="CE11" i="4"/>
  <c r="CE10" i="4"/>
</calcChain>
</file>

<file path=xl/sharedStrings.xml><?xml version="1.0" encoding="utf-8"?>
<sst xmlns="http://schemas.openxmlformats.org/spreadsheetml/2006/main" count="346" uniqueCount="91">
  <si>
    <t xml:space="preserve">Decision Variables </t>
  </si>
  <si>
    <r>
      <t>R</t>
    </r>
    <r>
      <rPr>
        <vertAlign val="subscript"/>
        <sz val="11"/>
        <color theme="1"/>
        <rFont val="Aptos Narrow"/>
        <family val="2"/>
        <scheme val="minor"/>
      </rPr>
      <t>B-C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</si>
  <si>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A-C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</si>
  <si>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A-B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</si>
  <si>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B-C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</si>
  <si>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A-C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</si>
  <si>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A-B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</si>
  <si>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B-C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</si>
  <si>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A-C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</si>
  <si>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A-B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</si>
  <si>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B-C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</si>
  <si>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A-C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</si>
  <si>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A-B</t>
    </r>
  </si>
  <si>
    <r>
      <t>O</t>
    </r>
    <r>
      <rPr>
        <vertAlign val="subscript"/>
        <sz val="11"/>
        <color theme="1"/>
        <rFont val="Aptos Narrow"/>
        <family val="2"/>
        <scheme val="minor"/>
      </rPr>
      <t>B-C</t>
    </r>
  </si>
  <si>
    <r>
      <t>O</t>
    </r>
    <r>
      <rPr>
        <vertAlign val="subscript"/>
        <sz val="11"/>
        <color theme="1"/>
        <rFont val="Aptos Narrow"/>
        <family val="2"/>
        <scheme val="minor"/>
      </rPr>
      <t>A-C</t>
    </r>
  </si>
  <si>
    <r>
      <t>O</t>
    </r>
    <r>
      <rPr>
        <vertAlign val="subscript"/>
        <sz val="11"/>
        <color theme="1"/>
        <rFont val="Aptos Narrow"/>
        <family val="2"/>
        <scheme val="minor"/>
      </rPr>
      <t>A-B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</si>
  <si>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</si>
  <si>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</si>
  <si>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</si>
  <si>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</si>
  <si>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</si>
  <si>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L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</si>
  <si>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O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</si>
  <si>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O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</si>
  <si>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O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</si>
  <si>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A-B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</si>
  <si>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A-C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</si>
  <si>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B-C</t>
    </r>
  </si>
  <si>
    <t xml:space="preserve">Objective function Coefficients </t>
  </si>
  <si>
    <t xml:space="preserve">Objective Function Value </t>
  </si>
  <si>
    <t>Subject to:</t>
  </si>
  <si>
    <t>&lt;=</t>
  </si>
  <si>
    <r>
      <t>M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</si>
  <si>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</si>
  <si>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</si>
  <si>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</si>
  <si>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</si>
  <si>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</si>
  <si>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</si>
  <si>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</si>
  <si>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</si>
  <si>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</si>
  <si>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</si>
  <si>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</si>
  <si>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</si>
  <si>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</si>
  <si>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C</t>
    </r>
  </si>
  <si>
    <t>&gt;=</t>
  </si>
  <si>
    <t>=</t>
  </si>
  <si>
    <t>Optimal Solution</t>
  </si>
  <si>
    <t>Z</t>
  </si>
  <si>
    <r>
      <t>O</t>
    </r>
    <r>
      <rPr>
        <vertAlign val="subscript"/>
        <sz val="11"/>
        <color theme="1"/>
        <rFont val="Aptos Narrow"/>
        <family val="2"/>
        <scheme val="minor"/>
      </rPr>
      <t>B-A</t>
    </r>
  </si>
  <si>
    <r>
      <t>O</t>
    </r>
    <r>
      <rPr>
        <vertAlign val="subscript"/>
        <sz val="11"/>
        <color theme="1"/>
        <rFont val="Aptos Narrow"/>
        <family val="2"/>
        <scheme val="minor"/>
      </rPr>
      <t>C-A</t>
    </r>
  </si>
  <si>
    <r>
      <t>O</t>
    </r>
    <r>
      <rPr>
        <vertAlign val="subscript"/>
        <sz val="11"/>
        <color theme="1"/>
        <rFont val="Aptos Narrow"/>
        <family val="2"/>
        <scheme val="minor"/>
      </rPr>
      <t>C-B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</si>
  <si>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B-A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</si>
  <si>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C-A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</si>
  <si>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C-B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</si>
  <si>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B-A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</si>
  <si>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C-A</t>
    </r>
  </si>
  <si>
    <r>
      <t>M</t>
    </r>
    <r>
      <rPr>
        <vertAlign val="subscript"/>
        <sz val="11"/>
        <color theme="1"/>
        <rFont val="Aptos Narrow"/>
        <family val="2"/>
        <scheme val="minor"/>
      </rPr>
      <t>C-B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</si>
  <si>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B-A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</si>
  <si>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C-A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</si>
  <si>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C-B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</si>
  <si>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B-A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</si>
  <si>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C-A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</si>
  <si>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C-B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</si>
  <si>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B-A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</si>
  <si>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C-A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</si>
  <si>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C-B</t>
    </r>
  </si>
  <si>
    <t>LHS</t>
  </si>
  <si>
    <t>RHS</t>
  </si>
  <si>
    <r>
      <t>sO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</si>
  <si>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sO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</si>
  <si>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sO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</si>
  <si>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sG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</si>
  <si>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sG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</si>
  <si>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sG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</si>
  <si>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sM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</si>
  <si>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sM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</si>
  <si>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sM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</si>
  <si>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sC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</si>
  <si>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sC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</si>
  <si>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sC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</si>
  <si>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sR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</si>
  <si>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sR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</si>
  <si>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sR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</si>
  <si>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sF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</si>
  <si>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sF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</si>
  <si>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sF</t>
    </r>
    <r>
      <rPr>
        <vertAlign val="subscript"/>
        <sz val="11"/>
        <color theme="1"/>
        <rFont val="Aptos Narrow"/>
        <family val="2"/>
        <scheme val="minor"/>
      </rPr>
      <t>C</t>
    </r>
  </si>
  <si>
    <t xml:space="preserve">   </t>
  </si>
  <si>
    <t>Optimal Solution after trade 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</si>
</sst>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shrinkToFi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25CC-955E-4B54-A220-006369B281BE}">
  <dimension ref="A1:CH94"/>
  <sheetViews>
    <sheetView tabSelected="1" topLeftCell="AV1" zoomScale="130" zoomScaleNormal="130" workbookViewId="0">
      <selection activeCell="AR4" sqref="AR4"/>
    </sheetView>
  </sheetViews>
  <sheetFormatPr defaultRowHeight="14.5" x14ac:dyDescent="0.35"/>
  <cols>
    <col min="1" max="1" width="26.81640625" bestFit="1" customWidth="1"/>
    <col min="2" max="2" width="12.7265625" bestFit="1" customWidth="1"/>
    <col min="3" max="80" width="8.7265625" customWidth="1"/>
    <col min="82" max="82" width="8.7265625" customWidth="1"/>
    <col min="83" max="83" width="13.26953125" bestFit="1" customWidth="1"/>
    <col min="85" max="85" width="3.1796875" bestFit="1" customWidth="1"/>
    <col min="86" max="86" width="6.36328125" bestFit="1" customWidth="1"/>
  </cols>
  <sheetData>
    <row r="1" spans="1:86" s="4" customFormat="1" ht="16.5" x14ac:dyDescent="0.45">
      <c r="A1" s="4" t="s">
        <v>0</v>
      </c>
      <c r="C1" s="4" t="s">
        <v>24</v>
      </c>
      <c r="D1" s="4" t="s">
        <v>23</v>
      </c>
      <c r="E1" s="4" t="s">
        <v>22</v>
      </c>
      <c r="F1" s="4" t="s">
        <v>21</v>
      </c>
      <c r="G1" s="4" t="s">
        <v>20</v>
      </c>
      <c r="H1" s="4" t="s">
        <v>19</v>
      </c>
      <c r="I1" s="4" t="s">
        <v>18</v>
      </c>
      <c r="J1" s="4" t="s">
        <v>17</v>
      </c>
      <c r="K1" s="4" t="s">
        <v>16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  <c r="AA1" s="4" t="s">
        <v>15</v>
      </c>
      <c r="AB1" s="4" t="s">
        <v>51</v>
      </c>
      <c r="AC1" s="4" t="s">
        <v>14</v>
      </c>
      <c r="AD1" s="4" t="s">
        <v>52</v>
      </c>
      <c r="AE1" s="4" t="s">
        <v>13</v>
      </c>
      <c r="AF1" s="4" t="s">
        <v>53</v>
      </c>
      <c r="AG1" s="4" t="s">
        <v>12</v>
      </c>
      <c r="AH1" s="4" t="s">
        <v>54</v>
      </c>
      <c r="AI1" s="4" t="s">
        <v>11</v>
      </c>
      <c r="AJ1" s="4" t="s">
        <v>55</v>
      </c>
      <c r="AK1" s="4" t="s">
        <v>10</v>
      </c>
      <c r="AL1" s="4" t="s">
        <v>56</v>
      </c>
      <c r="AM1" s="4" t="s">
        <v>9</v>
      </c>
      <c r="AN1" s="4" t="s">
        <v>57</v>
      </c>
      <c r="AO1" s="4" t="s">
        <v>8</v>
      </c>
      <c r="AP1" s="4" t="s">
        <v>58</v>
      </c>
      <c r="AQ1" s="4" t="s">
        <v>7</v>
      </c>
      <c r="AR1" s="4" t="s">
        <v>59</v>
      </c>
      <c r="AS1" s="4" t="s">
        <v>6</v>
      </c>
      <c r="AT1" s="4" t="s">
        <v>60</v>
      </c>
      <c r="AU1" s="4" t="s">
        <v>5</v>
      </c>
      <c r="AV1" s="4" t="s">
        <v>61</v>
      </c>
      <c r="AW1" s="4" t="s">
        <v>4</v>
      </c>
      <c r="AX1" s="4" t="s">
        <v>62</v>
      </c>
      <c r="AY1" s="4" t="s">
        <v>3</v>
      </c>
      <c r="AZ1" s="4" t="s">
        <v>63</v>
      </c>
      <c r="BA1" s="4" t="s">
        <v>2</v>
      </c>
      <c r="BB1" s="4" t="s">
        <v>64</v>
      </c>
      <c r="BC1" s="4" t="s">
        <v>1</v>
      </c>
      <c r="BD1" s="4" t="s">
        <v>65</v>
      </c>
      <c r="BE1" s="4" t="s">
        <v>25</v>
      </c>
      <c r="BF1" s="4" t="s">
        <v>66</v>
      </c>
      <c r="BG1" s="4" t="s">
        <v>26</v>
      </c>
      <c r="BH1" s="4" t="s">
        <v>67</v>
      </c>
      <c r="BI1" s="4" t="s">
        <v>27</v>
      </c>
      <c r="BJ1" s="4" t="s">
        <v>68</v>
      </c>
      <c r="BK1" s="4" t="s">
        <v>71</v>
      </c>
      <c r="BL1" s="4" t="s">
        <v>72</v>
      </c>
      <c r="BM1" s="4" t="s">
        <v>73</v>
      </c>
      <c r="BN1" s="4" t="s">
        <v>74</v>
      </c>
      <c r="BO1" s="4" t="s">
        <v>75</v>
      </c>
      <c r="BP1" s="4" t="s">
        <v>76</v>
      </c>
      <c r="BQ1" s="4" t="s">
        <v>77</v>
      </c>
      <c r="BR1" s="4" t="s">
        <v>78</v>
      </c>
      <c r="BS1" s="4" t="s">
        <v>79</v>
      </c>
      <c r="BT1" s="4" t="s">
        <v>80</v>
      </c>
      <c r="BU1" s="4" t="s">
        <v>81</v>
      </c>
      <c r="BV1" s="4" t="s">
        <v>82</v>
      </c>
      <c r="BW1" s="4" t="s">
        <v>83</v>
      </c>
      <c r="BX1" s="4" t="s">
        <v>84</v>
      </c>
      <c r="BY1" s="4" t="s">
        <v>85</v>
      </c>
      <c r="BZ1" s="4" t="s">
        <v>86</v>
      </c>
      <c r="CA1" s="4" t="s">
        <v>87</v>
      </c>
      <c r="CB1" s="4" t="s">
        <v>88</v>
      </c>
      <c r="CE1" s="4" t="s">
        <v>50</v>
      </c>
    </row>
    <row r="3" spans="1:86" x14ac:dyDescent="0.35">
      <c r="A3" t="s">
        <v>28</v>
      </c>
      <c r="C3">
        <v>180</v>
      </c>
      <c r="D3">
        <v>100</v>
      </c>
      <c r="E3">
        <v>120</v>
      </c>
      <c r="F3">
        <v>100</v>
      </c>
      <c r="G3">
        <v>125</v>
      </c>
      <c r="H3">
        <v>180</v>
      </c>
      <c r="I3">
        <v>160</v>
      </c>
      <c r="J3">
        <v>140</v>
      </c>
      <c r="K3">
        <v>100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80</v>
      </c>
      <c r="AB3">
        <v>80</v>
      </c>
      <c r="AC3">
        <v>45</v>
      </c>
      <c r="AD3">
        <v>45</v>
      </c>
      <c r="AE3">
        <v>48</v>
      </c>
      <c r="AF3">
        <v>48</v>
      </c>
      <c r="AG3">
        <v>90</v>
      </c>
      <c r="AH3">
        <v>90</v>
      </c>
      <c r="AI3">
        <v>50</v>
      </c>
      <c r="AJ3">
        <v>50</v>
      </c>
      <c r="AK3">
        <v>45</v>
      </c>
      <c r="AL3">
        <v>45</v>
      </c>
      <c r="AM3">
        <v>80</v>
      </c>
      <c r="AN3">
        <v>80</v>
      </c>
      <c r="AO3">
        <v>45</v>
      </c>
      <c r="AP3">
        <v>45</v>
      </c>
      <c r="AQ3">
        <v>48</v>
      </c>
      <c r="AR3">
        <v>48</v>
      </c>
      <c r="AS3">
        <v>100</v>
      </c>
      <c r="AT3">
        <v>100</v>
      </c>
      <c r="AU3">
        <v>55</v>
      </c>
      <c r="AV3">
        <v>55</v>
      </c>
      <c r="AW3">
        <v>60</v>
      </c>
      <c r="AX3">
        <v>60</v>
      </c>
      <c r="AY3">
        <v>110</v>
      </c>
      <c r="AZ3">
        <v>110</v>
      </c>
      <c r="BA3">
        <v>60</v>
      </c>
      <c r="BB3">
        <v>60</v>
      </c>
      <c r="BC3">
        <v>50</v>
      </c>
      <c r="BD3">
        <v>50</v>
      </c>
      <c r="BE3">
        <v>110</v>
      </c>
      <c r="BF3">
        <v>110</v>
      </c>
      <c r="BG3">
        <v>60</v>
      </c>
      <c r="BH3">
        <v>60</v>
      </c>
      <c r="BI3">
        <v>50</v>
      </c>
      <c r="BJ3">
        <v>50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5" spans="1:86" x14ac:dyDescent="0.35">
      <c r="A5" t="s">
        <v>90</v>
      </c>
      <c r="C5" s="2">
        <v>425</v>
      </c>
      <c r="D5" s="2">
        <v>2290.3944827586201</v>
      </c>
      <c r="E5" s="2">
        <v>1650</v>
      </c>
      <c r="F5" s="2">
        <v>3788.1999999999994</v>
      </c>
      <c r="G5" s="2">
        <v>2800</v>
      </c>
      <c r="H5" s="2">
        <v>1080</v>
      </c>
      <c r="I5" s="2">
        <v>1156.0606896551726</v>
      </c>
      <c r="J5" s="2">
        <v>3200</v>
      </c>
      <c r="K5" s="2">
        <v>6510.3448275862065</v>
      </c>
      <c r="L5" s="2">
        <v>500</v>
      </c>
      <c r="M5" s="2">
        <v>2862.9931034482756</v>
      </c>
      <c r="N5" s="2">
        <v>1875.0000000000002</v>
      </c>
      <c r="O5" s="2">
        <v>4856.6666666666661</v>
      </c>
      <c r="P5" s="2">
        <v>3733.3333333333335</v>
      </c>
      <c r="Q5" s="2">
        <v>1500</v>
      </c>
      <c r="R5" s="2">
        <v>2057.8620689655168</v>
      </c>
      <c r="S5" s="2">
        <v>3148.8</v>
      </c>
      <c r="T5" s="2">
        <v>2365.344827586207</v>
      </c>
      <c r="U5" s="2">
        <v>1019.6551724137921</v>
      </c>
      <c r="V5" s="2">
        <v>4320</v>
      </c>
      <c r="W5" s="2">
        <v>3060.3448275862079</v>
      </c>
      <c r="X5" s="2">
        <v>5500.0000000000009</v>
      </c>
      <c r="Y5" s="2">
        <v>6000</v>
      </c>
      <c r="Z5" s="2">
        <v>3000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2045.2680459770115</v>
      </c>
      <c r="AK5" s="2">
        <v>0</v>
      </c>
      <c r="AL5" s="2">
        <v>1454.7319540229889</v>
      </c>
      <c r="AM5" s="2">
        <v>0</v>
      </c>
      <c r="AN5" s="2">
        <v>11.79310344827536</v>
      </c>
      <c r="AO5" s="2">
        <v>0</v>
      </c>
      <c r="AP5" s="2">
        <v>100</v>
      </c>
      <c r="AQ5" s="2">
        <v>0</v>
      </c>
      <c r="AR5" s="2">
        <v>0</v>
      </c>
      <c r="AS5" s="2">
        <v>586.66666666666526</v>
      </c>
      <c r="AT5" s="2">
        <v>0</v>
      </c>
      <c r="AU5" s="2">
        <v>420.0000000000004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230.34482758620783</v>
      </c>
      <c r="BC5" s="2">
        <v>0</v>
      </c>
      <c r="BD5" s="2">
        <v>0</v>
      </c>
      <c r="BE5" s="2">
        <v>50.000000000000796</v>
      </c>
      <c r="BF5" s="2">
        <v>0</v>
      </c>
      <c r="BG5" s="2">
        <v>949.99999999999989</v>
      </c>
      <c r="BH5" s="2">
        <v>0</v>
      </c>
      <c r="BI5" s="2">
        <v>0</v>
      </c>
      <c r="BJ5" s="2">
        <v>0</v>
      </c>
      <c r="BK5" s="2">
        <v>425</v>
      </c>
      <c r="BL5" s="2">
        <v>2290.3944827586201</v>
      </c>
      <c r="BM5" s="2">
        <v>1650</v>
      </c>
      <c r="BN5" s="2">
        <v>3201.3287356321835</v>
      </c>
      <c r="BO5" s="2">
        <v>4654.7319540229892</v>
      </c>
      <c r="BP5" s="2">
        <v>3010.3448275862065</v>
      </c>
      <c r="BQ5" s="2">
        <v>611.79310344827536</v>
      </c>
      <c r="BR5" s="2">
        <v>2851.2000000000003</v>
      </c>
      <c r="BS5" s="2">
        <v>1775.0000000000005</v>
      </c>
      <c r="BT5" s="2">
        <v>3850.0000000000005</v>
      </c>
      <c r="BU5" s="2">
        <v>4320</v>
      </c>
      <c r="BV5" s="2">
        <v>1920</v>
      </c>
      <c r="BW5" s="2">
        <v>1250</v>
      </c>
      <c r="BX5" s="2">
        <v>4320</v>
      </c>
      <c r="BY5" s="2">
        <v>2830</v>
      </c>
      <c r="BZ5" s="2">
        <v>4500</v>
      </c>
      <c r="CA5" s="2">
        <v>6050</v>
      </c>
      <c r="CB5" s="2">
        <v>3950</v>
      </c>
      <c r="CD5" t="s">
        <v>48</v>
      </c>
      <c r="CE5" s="3">
        <f>SUMPRODUCT(C3:CB3,C5:CB5)</f>
        <v>3042020.7862068969</v>
      </c>
    </row>
    <row r="6" spans="1:86" x14ac:dyDescent="0.35">
      <c r="A6" t="s">
        <v>49</v>
      </c>
      <c r="C6" s="2">
        <v>0</v>
      </c>
      <c r="D6" s="2">
        <v>2905.9600000000005</v>
      </c>
      <c r="E6" s="2">
        <v>1444.4319999999996</v>
      </c>
      <c r="F6" s="2">
        <v>3788.1999999999994</v>
      </c>
      <c r="G6" s="2">
        <v>2800</v>
      </c>
      <c r="H6" s="2">
        <v>1080</v>
      </c>
      <c r="I6" s="2">
        <v>1295.8400000000006</v>
      </c>
      <c r="J6" s="2">
        <v>3200</v>
      </c>
      <c r="K6" s="2">
        <v>6385.5679999999993</v>
      </c>
      <c r="L6" s="2">
        <v>500</v>
      </c>
      <c r="M6" s="2">
        <v>3101.2000000000003</v>
      </c>
      <c r="N6" s="2">
        <v>1641.3999999999996</v>
      </c>
      <c r="O6" s="2">
        <v>4856.6666666666661</v>
      </c>
      <c r="P6" s="2">
        <v>3733.3333333333335</v>
      </c>
      <c r="Q6" s="2">
        <v>1500</v>
      </c>
      <c r="R6" s="2">
        <v>2150</v>
      </c>
      <c r="S6" s="2">
        <v>3148.8</v>
      </c>
      <c r="T6" s="2">
        <v>2268.6</v>
      </c>
      <c r="U6" s="2">
        <v>1250</v>
      </c>
      <c r="V6" s="2">
        <v>4320</v>
      </c>
      <c r="W6" s="2">
        <v>2830</v>
      </c>
      <c r="X6" s="2">
        <v>5500.0000000000009</v>
      </c>
      <c r="Y6" s="2">
        <v>6000</v>
      </c>
      <c r="Z6" s="2">
        <v>3000</v>
      </c>
      <c r="AA6" s="2">
        <v>0</v>
      </c>
      <c r="AB6" s="2">
        <v>425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1997.6266666666668</v>
      </c>
      <c r="AK6" s="2">
        <v>0</v>
      </c>
      <c r="AL6" s="2">
        <v>1502.3733333333337</v>
      </c>
      <c r="AM6" s="2">
        <v>0</v>
      </c>
      <c r="AN6" s="2">
        <v>250.00000000000011</v>
      </c>
      <c r="AO6" s="2">
        <v>0</v>
      </c>
      <c r="AP6" s="2">
        <v>0</v>
      </c>
      <c r="AQ6" s="2">
        <v>0</v>
      </c>
      <c r="AR6" s="2">
        <v>0</v>
      </c>
      <c r="AS6" s="2">
        <v>586.66666666666526</v>
      </c>
      <c r="AT6" s="2">
        <v>0</v>
      </c>
      <c r="AU6" s="2">
        <v>420.0000000000004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50.000000000000796</v>
      </c>
      <c r="BF6" s="2">
        <v>0</v>
      </c>
      <c r="BG6" s="2">
        <v>949.99999999999989</v>
      </c>
      <c r="BH6" s="2">
        <v>0</v>
      </c>
      <c r="BI6" s="2">
        <v>0</v>
      </c>
      <c r="BJ6" s="2">
        <v>0</v>
      </c>
      <c r="BK6" s="2">
        <v>425</v>
      </c>
      <c r="BL6" s="2">
        <v>2480.96</v>
      </c>
      <c r="BM6" s="2">
        <v>1444.4319999999996</v>
      </c>
      <c r="BN6" s="2">
        <v>3293.4666666666667</v>
      </c>
      <c r="BO6" s="2">
        <v>4702.3733333333339</v>
      </c>
      <c r="BP6" s="2">
        <v>2885.5679999999993</v>
      </c>
      <c r="BQ6" s="2">
        <v>750.00000000000011</v>
      </c>
      <c r="BR6" s="2">
        <v>2851.2000000000003</v>
      </c>
      <c r="BS6" s="2">
        <v>1641.3999999999999</v>
      </c>
      <c r="BT6" s="2">
        <v>3850.0000000000005</v>
      </c>
      <c r="BU6" s="2">
        <v>4320</v>
      </c>
      <c r="BV6" s="2">
        <v>1920</v>
      </c>
      <c r="BW6" s="2">
        <v>1250</v>
      </c>
      <c r="BX6" s="2">
        <v>4320</v>
      </c>
      <c r="BY6" s="2">
        <v>2830</v>
      </c>
      <c r="BZ6" s="2">
        <v>4500</v>
      </c>
      <c r="CA6" s="2">
        <v>6050</v>
      </c>
      <c r="CB6" s="2">
        <v>3950</v>
      </c>
      <c r="CD6" t="s">
        <v>48</v>
      </c>
      <c r="CE6" s="3">
        <f>SUMPRODUCT(C4:CB4,C6:CB6)</f>
        <v>0</v>
      </c>
    </row>
    <row r="7" spans="1:86" s="5" customFormat="1" x14ac:dyDescent="0.35"/>
    <row r="8" spans="1:86" x14ac:dyDescent="0.35">
      <c r="A8" t="s">
        <v>29</v>
      </c>
      <c r="B8" s="1">
        <f>CE5</f>
        <v>3042020.7862068969</v>
      </c>
    </row>
    <row r="10" spans="1:86" x14ac:dyDescent="0.35">
      <c r="A10" t="s">
        <v>30</v>
      </c>
      <c r="CE10" t="s">
        <v>69</v>
      </c>
      <c r="CH10" t="s">
        <v>70</v>
      </c>
    </row>
    <row r="11" spans="1:86" x14ac:dyDescent="0.35">
      <c r="C11">
        <v>1</v>
      </c>
      <c r="CE11">
        <f t="shared" ref="CE11:CE74" si="0">SUMPRODUCT($C$5:$CB$5,C11:CB11)</f>
        <v>425</v>
      </c>
      <c r="CG11" t="s">
        <v>31</v>
      </c>
      <c r="CH11">
        <v>500</v>
      </c>
    </row>
    <row r="12" spans="1:86" x14ac:dyDescent="0.35">
      <c r="D12">
        <v>1</v>
      </c>
      <c r="CE12">
        <f t="shared" si="0"/>
        <v>2290.3944827586201</v>
      </c>
      <c r="CG12" t="s">
        <v>31</v>
      </c>
      <c r="CH12">
        <v>3600</v>
      </c>
    </row>
    <row r="13" spans="1:86" x14ac:dyDescent="0.35">
      <c r="E13">
        <v>1</v>
      </c>
      <c r="CE13">
        <f t="shared" si="0"/>
        <v>1650</v>
      </c>
      <c r="CG13" t="s">
        <v>31</v>
      </c>
      <c r="CH13">
        <v>1650</v>
      </c>
    </row>
    <row r="14" spans="1:86" x14ac:dyDescent="0.35">
      <c r="F14">
        <v>1</v>
      </c>
      <c r="CE14">
        <f t="shared" si="0"/>
        <v>3788.1999999999994</v>
      </c>
      <c r="CG14" t="s">
        <v>31</v>
      </c>
      <c r="CH14">
        <v>5500</v>
      </c>
    </row>
    <row r="15" spans="1:86" x14ac:dyDescent="0.35">
      <c r="G15">
        <v>1</v>
      </c>
      <c r="CE15">
        <f t="shared" si="0"/>
        <v>2800</v>
      </c>
      <c r="CG15" t="s">
        <v>31</v>
      </c>
      <c r="CH15">
        <v>2800</v>
      </c>
    </row>
    <row r="16" spans="1:86" x14ac:dyDescent="0.35">
      <c r="H16">
        <v>1</v>
      </c>
      <c r="CE16">
        <f t="shared" si="0"/>
        <v>1080</v>
      </c>
      <c r="CG16" t="s">
        <v>31</v>
      </c>
      <c r="CH16">
        <v>1600</v>
      </c>
    </row>
    <row r="17" spans="9:86" x14ac:dyDescent="0.35">
      <c r="I17">
        <v>1</v>
      </c>
      <c r="CE17">
        <f t="shared" si="0"/>
        <v>1156.0606896551726</v>
      </c>
      <c r="CG17" t="s">
        <v>31</v>
      </c>
      <c r="CH17">
        <v>1800</v>
      </c>
    </row>
    <row r="18" spans="9:86" x14ac:dyDescent="0.35">
      <c r="J18">
        <v>1</v>
      </c>
      <c r="CE18">
        <f t="shared" si="0"/>
        <v>3200</v>
      </c>
      <c r="CG18" t="s">
        <v>31</v>
      </c>
      <c r="CH18">
        <v>3200</v>
      </c>
    </row>
    <row r="19" spans="9:86" x14ac:dyDescent="0.35">
      <c r="K19">
        <v>1</v>
      </c>
      <c r="CE19">
        <f t="shared" si="0"/>
        <v>6510.3448275862065</v>
      </c>
      <c r="CG19" t="s">
        <v>31</v>
      </c>
      <c r="CH19">
        <v>11000</v>
      </c>
    </row>
    <row r="20" spans="9:86" x14ac:dyDescent="0.35">
      <c r="L20">
        <v>1</v>
      </c>
      <c r="CE20">
        <f t="shared" si="0"/>
        <v>500</v>
      </c>
      <c r="CG20" t="s">
        <v>31</v>
      </c>
      <c r="CH20">
        <v>500</v>
      </c>
    </row>
    <row r="21" spans="9:86" x14ac:dyDescent="0.35">
      <c r="M21">
        <v>1</v>
      </c>
      <c r="CE21">
        <f t="shared" si="0"/>
        <v>2862.9931034482756</v>
      </c>
      <c r="CG21" t="s">
        <v>31</v>
      </c>
      <c r="CH21">
        <v>3200</v>
      </c>
    </row>
    <row r="22" spans="9:86" x14ac:dyDescent="0.35">
      <c r="N22">
        <v>1</v>
      </c>
      <c r="CE22">
        <f t="shared" si="0"/>
        <v>1875.0000000000002</v>
      </c>
      <c r="CG22" t="s">
        <v>31</v>
      </c>
      <c r="CH22">
        <v>3000</v>
      </c>
    </row>
    <row r="23" spans="9:86" x14ac:dyDescent="0.35">
      <c r="O23">
        <v>1</v>
      </c>
      <c r="CE23">
        <f t="shared" si="0"/>
        <v>4856.6666666666661</v>
      </c>
      <c r="CG23" t="s">
        <v>31</v>
      </c>
      <c r="CH23">
        <v>6500</v>
      </c>
    </row>
    <row r="24" spans="9:86" x14ac:dyDescent="0.35">
      <c r="P24">
        <v>1</v>
      </c>
      <c r="CE24">
        <f t="shared" si="0"/>
        <v>3733.3333333333335</v>
      </c>
      <c r="CG24" t="s">
        <v>31</v>
      </c>
      <c r="CH24">
        <v>4200</v>
      </c>
    </row>
    <row r="25" spans="9:86" x14ac:dyDescent="0.35">
      <c r="Q25">
        <v>1</v>
      </c>
      <c r="CE25">
        <f t="shared" si="0"/>
        <v>1500</v>
      </c>
      <c r="CG25" t="s">
        <v>31</v>
      </c>
      <c r="CH25">
        <v>1500</v>
      </c>
    </row>
    <row r="26" spans="9:86" x14ac:dyDescent="0.35">
      <c r="R26">
        <v>1</v>
      </c>
      <c r="CE26">
        <f t="shared" si="0"/>
        <v>2057.8620689655168</v>
      </c>
      <c r="CG26" t="s">
        <v>31</v>
      </c>
      <c r="CH26">
        <v>2500</v>
      </c>
    </row>
    <row r="27" spans="9:86" x14ac:dyDescent="0.35">
      <c r="S27">
        <v>1</v>
      </c>
      <c r="CE27">
        <f t="shared" si="0"/>
        <v>3148.8</v>
      </c>
      <c r="CG27" t="s">
        <v>31</v>
      </c>
      <c r="CH27">
        <v>3500</v>
      </c>
    </row>
    <row r="28" spans="9:86" x14ac:dyDescent="0.35">
      <c r="T28">
        <v>1</v>
      </c>
      <c r="CE28">
        <f t="shared" si="0"/>
        <v>2365.344827586207</v>
      </c>
      <c r="CG28" t="s">
        <v>31</v>
      </c>
      <c r="CH28">
        <v>3800</v>
      </c>
    </row>
    <row r="29" spans="9:86" x14ac:dyDescent="0.35">
      <c r="U29">
        <v>1</v>
      </c>
      <c r="CE29">
        <f t="shared" si="0"/>
        <v>1019.6551724137921</v>
      </c>
      <c r="CG29" t="s">
        <v>31</v>
      </c>
      <c r="CH29">
        <v>2400</v>
      </c>
    </row>
    <row r="30" spans="9:86" x14ac:dyDescent="0.35">
      <c r="V30">
        <v>1</v>
      </c>
      <c r="CE30">
        <f t="shared" si="0"/>
        <v>4320</v>
      </c>
      <c r="CG30" t="s">
        <v>31</v>
      </c>
      <c r="CH30">
        <v>5800</v>
      </c>
    </row>
    <row r="31" spans="9:86" x14ac:dyDescent="0.35">
      <c r="W31">
        <v>1</v>
      </c>
      <c r="CE31">
        <f t="shared" si="0"/>
        <v>3060.3448275862079</v>
      </c>
      <c r="CG31" t="s">
        <v>31</v>
      </c>
      <c r="CH31">
        <v>4000</v>
      </c>
    </row>
    <row r="32" spans="9:86" x14ac:dyDescent="0.35">
      <c r="X32">
        <v>1</v>
      </c>
      <c r="CE32">
        <f t="shared" si="0"/>
        <v>5500.0000000000009</v>
      </c>
      <c r="CG32" t="s">
        <v>31</v>
      </c>
      <c r="CH32">
        <v>9000</v>
      </c>
    </row>
    <row r="33" spans="25:86" x14ac:dyDescent="0.35">
      <c r="Y33">
        <v>1</v>
      </c>
      <c r="CE33">
        <f t="shared" si="0"/>
        <v>6000</v>
      </c>
      <c r="CG33" t="s">
        <v>31</v>
      </c>
      <c r="CH33">
        <v>6000</v>
      </c>
    </row>
    <row r="34" spans="25:86" x14ac:dyDescent="0.35">
      <c r="Z34">
        <v>1</v>
      </c>
      <c r="CE34">
        <f t="shared" si="0"/>
        <v>3000</v>
      </c>
      <c r="CG34" t="s">
        <v>31</v>
      </c>
      <c r="CH34">
        <v>3000</v>
      </c>
    </row>
    <row r="35" spans="25:86" x14ac:dyDescent="0.35">
      <c r="AA35">
        <v>1</v>
      </c>
      <c r="AC35">
        <v>1</v>
      </c>
      <c r="CE35">
        <f t="shared" si="0"/>
        <v>0</v>
      </c>
      <c r="CG35" t="s">
        <v>31</v>
      </c>
      <c r="CH35">
        <v>50</v>
      </c>
    </row>
    <row r="36" spans="25:86" x14ac:dyDescent="0.35">
      <c r="AB36">
        <v>1</v>
      </c>
      <c r="AE36">
        <v>1</v>
      </c>
      <c r="CE36">
        <f t="shared" si="0"/>
        <v>0</v>
      </c>
      <c r="CG36" t="s">
        <v>31</v>
      </c>
      <c r="CH36">
        <v>700</v>
      </c>
    </row>
    <row r="37" spans="25:86" x14ac:dyDescent="0.35">
      <c r="AD37">
        <v>1</v>
      </c>
      <c r="AF37">
        <v>1</v>
      </c>
      <c r="CE37">
        <f t="shared" si="0"/>
        <v>0</v>
      </c>
      <c r="CG37" t="s">
        <v>31</v>
      </c>
      <c r="CH37">
        <v>200</v>
      </c>
    </row>
    <row r="38" spans="25:86" x14ac:dyDescent="0.35">
      <c r="AG38">
        <v>1</v>
      </c>
      <c r="AI38">
        <v>1</v>
      </c>
      <c r="CE38">
        <f t="shared" si="0"/>
        <v>0</v>
      </c>
      <c r="CG38" t="s">
        <v>31</v>
      </c>
      <c r="CH38">
        <v>700</v>
      </c>
    </row>
    <row r="39" spans="25:86" x14ac:dyDescent="0.35">
      <c r="AH39">
        <v>1</v>
      </c>
      <c r="AK39">
        <v>1</v>
      </c>
      <c r="CE39">
        <f t="shared" si="0"/>
        <v>0</v>
      </c>
      <c r="CG39" t="s">
        <v>31</v>
      </c>
      <c r="CH39">
        <v>1200</v>
      </c>
    </row>
    <row r="40" spans="25:86" x14ac:dyDescent="0.35">
      <c r="AJ40">
        <v>1</v>
      </c>
      <c r="AL40">
        <v>1</v>
      </c>
      <c r="CE40">
        <f t="shared" si="0"/>
        <v>3500.0000000000005</v>
      </c>
      <c r="CG40" t="s">
        <v>31</v>
      </c>
      <c r="CH40">
        <v>3500</v>
      </c>
    </row>
    <row r="41" spans="25:86" x14ac:dyDescent="0.35">
      <c r="AM41">
        <v>1</v>
      </c>
      <c r="AO41">
        <v>1</v>
      </c>
      <c r="CE41">
        <f t="shared" si="0"/>
        <v>0</v>
      </c>
      <c r="CG41" t="s">
        <v>31</v>
      </c>
      <c r="CH41">
        <v>50</v>
      </c>
    </row>
    <row r="42" spans="25:86" x14ac:dyDescent="0.35">
      <c r="AN42">
        <v>1</v>
      </c>
      <c r="AQ42">
        <v>1</v>
      </c>
      <c r="CE42">
        <f t="shared" si="0"/>
        <v>11.79310344827536</v>
      </c>
      <c r="CG42" t="s">
        <v>31</v>
      </c>
      <c r="CH42">
        <v>400</v>
      </c>
    </row>
    <row r="43" spans="25:86" x14ac:dyDescent="0.35">
      <c r="AP43">
        <v>1</v>
      </c>
      <c r="AR43">
        <v>1</v>
      </c>
      <c r="CE43">
        <f t="shared" si="0"/>
        <v>100</v>
      </c>
      <c r="CG43" t="s">
        <v>31</v>
      </c>
      <c r="CH43">
        <v>100</v>
      </c>
    </row>
    <row r="44" spans="25:86" x14ac:dyDescent="0.35">
      <c r="AS44">
        <v>1</v>
      </c>
      <c r="AU44">
        <v>1</v>
      </c>
      <c r="CE44">
        <f t="shared" si="0"/>
        <v>1006.6666666666656</v>
      </c>
      <c r="CG44" t="s">
        <v>31</v>
      </c>
      <c r="CH44">
        <v>1200</v>
      </c>
    </row>
    <row r="45" spans="25:86" x14ac:dyDescent="0.35">
      <c r="AT45">
        <v>1</v>
      </c>
      <c r="AW45">
        <v>1</v>
      </c>
      <c r="CE45">
        <f t="shared" si="0"/>
        <v>0</v>
      </c>
      <c r="CG45" t="s">
        <v>31</v>
      </c>
      <c r="CH45">
        <v>600</v>
      </c>
    </row>
    <row r="46" spans="25:86" x14ac:dyDescent="0.35">
      <c r="AV46">
        <v>1</v>
      </c>
      <c r="AX46">
        <v>1</v>
      </c>
      <c r="CE46">
        <f t="shared" si="0"/>
        <v>0</v>
      </c>
      <c r="CG46" t="s">
        <v>31</v>
      </c>
      <c r="CH46">
        <v>300</v>
      </c>
    </row>
    <row r="47" spans="25:86" x14ac:dyDescent="0.35">
      <c r="AY47">
        <v>1</v>
      </c>
      <c r="BA47">
        <v>1</v>
      </c>
      <c r="CE47">
        <f t="shared" si="0"/>
        <v>0</v>
      </c>
      <c r="CG47" t="s">
        <v>31</v>
      </c>
      <c r="CH47">
        <v>300</v>
      </c>
    </row>
    <row r="48" spans="25:86" x14ac:dyDescent="0.35">
      <c r="AZ48">
        <v>1</v>
      </c>
      <c r="BC48">
        <v>1</v>
      </c>
      <c r="CE48">
        <f t="shared" si="0"/>
        <v>0</v>
      </c>
      <c r="CG48" t="s">
        <v>31</v>
      </c>
      <c r="CH48">
        <v>600</v>
      </c>
    </row>
    <row r="49" spans="3:86" x14ac:dyDescent="0.35">
      <c r="BB49">
        <v>1</v>
      </c>
      <c r="BD49">
        <v>1</v>
      </c>
      <c r="CE49">
        <f t="shared" si="0"/>
        <v>230.34482758620783</v>
      </c>
      <c r="CG49" t="s">
        <v>31</v>
      </c>
      <c r="CH49">
        <v>500</v>
      </c>
    </row>
    <row r="50" spans="3:86" x14ac:dyDescent="0.35">
      <c r="BE50">
        <v>1</v>
      </c>
      <c r="BG50">
        <v>1</v>
      </c>
      <c r="CE50">
        <f t="shared" si="0"/>
        <v>1000.0000000000007</v>
      </c>
      <c r="CG50" t="s">
        <v>31</v>
      </c>
      <c r="CH50">
        <v>1500</v>
      </c>
    </row>
    <row r="51" spans="3:86" x14ac:dyDescent="0.35">
      <c r="BF51">
        <v>1</v>
      </c>
      <c r="BI51">
        <v>1</v>
      </c>
      <c r="CE51">
        <f t="shared" si="0"/>
        <v>0</v>
      </c>
      <c r="CG51" t="s">
        <v>31</v>
      </c>
      <c r="CH51">
        <v>500</v>
      </c>
    </row>
    <row r="52" spans="3:86" x14ac:dyDescent="0.35">
      <c r="BH52">
        <v>1</v>
      </c>
      <c r="BJ52">
        <v>1</v>
      </c>
      <c r="CE52">
        <f t="shared" si="0"/>
        <v>0</v>
      </c>
      <c r="CG52" t="s">
        <v>31</v>
      </c>
      <c r="CH52">
        <v>400</v>
      </c>
    </row>
    <row r="53" spans="3:86" x14ac:dyDescent="0.35">
      <c r="U53">
        <v>1</v>
      </c>
      <c r="AY53">
        <v>-1</v>
      </c>
      <c r="AZ53">
        <v>1</v>
      </c>
      <c r="BA53">
        <v>-1</v>
      </c>
      <c r="BB53">
        <v>1</v>
      </c>
      <c r="CE53">
        <f t="shared" si="0"/>
        <v>1250</v>
      </c>
      <c r="CG53" t="s">
        <v>47</v>
      </c>
      <c r="CH53">
        <v>1250</v>
      </c>
    </row>
    <row r="54" spans="3:86" x14ac:dyDescent="0.35">
      <c r="V54">
        <v>1</v>
      </c>
      <c r="AY54">
        <v>1</v>
      </c>
      <c r="AZ54">
        <v>-1</v>
      </c>
      <c r="BC54">
        <v>-1</v>
      </c>
      <c r="BD54">
        <v>1</v>
      </c>
      <c r="CE54">
        <f t="shared" si="0"/>
        <v>4320</v>
      </c>
      <c r="CG54" t="s">
        <v>47</v>
      </c>
      <c r="CH54">
        <v>4320</v>
      </c>
    </row>
    <row r="55" spans="3:86" x14ac:dyDescent="0.35">
      <c r="W55">
        <v>1</v>
      </c>
      <c r="BA55">
        <v>1</v>
      </c>
      <c r="BB55">
        <v>-1</v>
      </c>
      <c r="BC55">
        <v>1</v>
      </c>
      <c r="BD55">
        <v>-1</v>
      </c>
      <c r="CE55">
        <f t="shared" si="0"/>
        <v>2830</v>
      </c>
      <c r="CG55" t="s">
        <v>47</v>
      </c>
      <c r="CH55">
        <v>2830</v>
      </c>
    </row>
    <row r="56" spans="3:86" x14ac:dyDescent="0.35">
      <c r="X56">
        <v>1</v>
      </c>
      <c r="BE56">
        <v>-1</v>
      </c>
      <c r="BF56">
        <v>1</v>
      </c>
      <c r="BG56">
        <v>-1</v>
      </c>
      <c r="BH56">
        <v>1</v>
      </c>
      <c r="CE56">
        <f t="shared" si="0"/>
        <v>4500</v>
      </c>
      <c r="CG56" t="s">
        <v>47</v>
      </c>
      <c r="CH56">
        <v>4500</v>
      </c>
    </row>
    <row r="57" spans="3:86" x14ac:dyDescent="0.35">
      <c r="Y57">
        <v>1</v>
      </c>
      <c r="BE57">
        <v>1</v>
      </c>
      <c r="BF57">
        <v>-1</v>
      </c>
      <c r="BI57">
        <v>-1</v>
      </c>
      <c r="BJ57">
        <v>1</v>
      </c>
      <c r="CE57">
        <f t="shared" si="0"/>
        <v>6050.0000000000009</v>
      </c>
      <c r="CG57" t="s">
        <v>47</v>
      </c>
      <c r="CH57">
        <v>6050</v>
      </c>
    </row>
    <row r="58" spans="3:86" x14ac:dyDescent="0.35">
      <c r="Z58">
        <v>1</v>
      </c>
      <c r="BG58">
        <v>1</v>
      </c>
      <c r="BH58">
        <v>-1</v>
      </c>
      <c r="BI58">
        <v>1</v>
      </c>
      <c r="BJ58">
        <v>-1</v>
      </c>
      <c r="CE58">
        <f t="shared" si="0"/>
        <v>3950</v>
      </c>
      <c r="CG58" t="s">
        <v>47</v>
      </c>
      <c r="CH58">
        <v>3950</v>
      </c>
    </row>
    <row r="59" spans="3:86" x14ac:dyDescent="0.35">
      <c r="C59">
        <v>1</v>
      </c>
      <c r="AA59">
        <v>-1</v>
      </c>
      <c r="AB59">
        <v>1</v>
      </c>
      <c r="AC59">
        <v>-1</v>
      </c>
      <c r="AD59">
        <v>1</v>
      </c>
      <c r="BK59">
        <v>-1</v>
      </c>
      <c r="CE59">
        <f t="shared" si="0"/>
        <v>0</v>
      </c>
      <c r="CG59" t="s">
        <v>48</v>
      </c>
      <c r="CH59">
        <v>0</v>
      </c>
    </row>
    <row r="60" spans="3:86" x14ac:dyDescent="0.35">
      <c r="D60">
        <v>1</v>
      </c>
      <c r="AA60">
        <v>1</v>
      </c>
      <c r="AB60">
        <v>-1</v>
      </c>
      <c r="AE60">
        <v>-1</v>
      </c>
      <c r="AF60">
        <v>1</v>
      </c>
      <c r="BL60">
        <v>-1</v>
      </c>
      <c r="CE60">
        <f t="shared" si="0"/>
        <v>0</v>
      </c>
      <c r="CG60" t="s">
        <v>48</v>
      </c>
      <c r="CH60">
        <v>0</v>
      </c>
    </row>
    <row r="61" spans="3:86" x14ac:dyDescent="0.35">
      <c r="E61">
        <v>1</v>
      </c>
      <c r="AC61">
        <v>1</v>
      </c>
      <c r="AD61">
        <v>-1</v>
      </c>
      <c r="AE61">
        <v>1</v>
      </c>
      <c r="AF61">
        <v>-1</v>
      </c>
      <c r="BM61">
        <v>-1</v>
      </c>
      <c r="CE61">
        <f t="shared" si="0"/>
        <v>0</v>
      </c>
      <c r="CG61" t="s">
        <v>48</v>
      </c>
      <c r="CH61">
        <v>0</v>
      </c>
    </row>
    <row r="62" spans="3:86" x14ac:dyDescent="0.35">
      <c r="I62">
        <v>1</v>
      </c>
      <c r="AG62">
        <v>-1</v>
      </c>
      <c r="AH62">
        <v>1</v>
      </c>
      <c r="AI62">
        <v>-1</v>
      </c>
      <c r="AJ62">
        <v>1</v>
      </c>
      <c r="BN62">
        <v>-1</v>
      </c>
      <c r="CE62">
        <f t="shared" si="0"/>
        <v>9.0949470177292824E-13</v>
      </c>
      <c r="CG62" t="s">
        <v>48</v>
      </c>
      <c r="CH62">
        <v>0</v>
      </c>
    </row>
    <row r="63" spans="3:86" x14ac:dyDescent="0.35">
      <c r="J63">
        <v>1</v>
      </c>
      <c r="AG63">
        <v>1</v>
      </c>
      <c r="AH63">
        <v>-1</v>
      </c>
      <c r="AK63">
        <v>-1</v>
      </c>
      <c r="AL63">
        <v>1</v>
      </c>
      <c r="BO63">
        <v>-1</v>
      </c>
      <c r="CE63">
        <f t="shared" si="0"/>
        <v>0</v>
      </c>
      <c r="CG63" t="s">
        <v>48</v>
      </c>
      <c r="CH63">
        <v>0</v>
      </c>
    </row>
    <row r="64" spans="3:86" x14ac:dyDescent="0.35">
      <c r="K64">
        <v>1</v>
      </c>
      <c r="AI64">
        <v>1</v>
      </c>
      <c r="AJ64">
        <v>-1</v>
      </c>
      <c r="AK64">
        <v>1</v>
      </c>
      <c r="AL64">
        <v>-1</v>
      </c>
      <c r="BP64">
        <v>-1</v>
      </c>
      <c r="CE64">
        <f t="shared" si="0"/>
        <v>-9.0949470177292824E-13</v>
      </c>
      <c r="CG64" t="s">
        <v>48</v>
      </c>
      <c r="CH64">
        <v>0</v>
      </c>
    </row>
    <row r="65" spans="12:86" x14ac:dyDescent="0.35">
      <c r="L65">
        <v>1</v>
      </c>
      <c r="AM65">
        <v>-1</v>
      </c>
      <c r="AN65">
        <v>1</v>
      </c>
      <c r="AO65">
        <v>-1</v>
      </c>
      <c r="AP65">
        <v>1</v>
      </c>
      <c r="BQ65">
        <v>-1</v>
      </c>
      <c r="CE65">
        <f t="shared" si="0"/>
        <v>0</v>
      </c>
      <c r="CG65" t="s">
        <v>48</v>
      </c>
      <c r="CH65">
        <v>0</v>
      </c>
    </row>
    <row r="66" spans="12:86" x14ac:dyDescent="0.35">
      <c r="M66">
        <v>1</v>
      </c>
      <c r="AM66">
        <v>1</v>
      </c>
      <c r="AN66">
        <v>-1</v>
      </c>
      <c r="AQ66">
        <v>-1</v>
      </c>
      <c r="AR66">
        <v>1</v>
      </c>
      <c r="BR66">
        <v>-1</v>
      </c>
      <c r="CE66">
        <f t="shared" si="0"/>
        <v>0</v>
      </c>
      <c r="CG66" t="s">
        <v>48</v>
      </c>
      <c r="CH66">
        <v>0</v>
      </c>
    </row>
    <row r="67" spans="12:86" x14ac:dyDescent="0.35">
      <c r="N67">
        <v>1</v>
      </c>
      <c r="AO67">
        <v>1</v>
      </c>
      <c r="AP67">
        <v>-1</v>
      </c>
      <c r="AQ67">
        <v>1</v>
      </c>
      <c r="AR67">
        <v>-1</v>
      </c>
      <c r="BS67">
        <v>-1</v>
      </c>
      <c r="CE67">
        <f t="shared" si="0"/>
        <v>-2.2737367544323206E-13</v>
      </c>
      <c r="CG67" t="s">
        <v>48</v>
      </c>
      <c r="CH67">
        <v>0</v>
      </c>
    </row>
    <row r="68" spans="12:86" x14ac:dyDescent="0.35">
      <c r="O68">
        <v>1</v>
      </c>
      <c r="AS68">
        <v>-1</v>
      </c>
      <c r="AT68">
        <v>1</v>
      </c>
      <c r="AU68">
        <v>-1</v>
      </c>
      <c r="AV68">
        <v>1</v>
      </c>
      <c r="BT68">
        <v>-1</v>
      </c>
      <c r="CE68">
        <f t="shared" si="0"/>
        <v>0</v>
      </c>
      <c r="CG68" t="s">
        <v>48</v>
      </c>
      <c r="CH68">
        <v>0</v>
      </c>
    </row>
    <row r="69" spans="12:86" x14ac:dyDescent="0.35">
      <c r="P69">
        <v>1</v>
      </c>
      <c r="AS69">
        <v>1</v>
      </c>
      <c r="AT69">
        <v>-1</v>
      </c>
      <c r="AW69">
        <v>-1</v>
      </c>
      <c r="AX69">
        <v>1</v>
      </c>
      <c r="BU69">
        <v>-1</v>
      </c>
      <c r="CE69">
        <f t="shared" si="0"/>
        <v>-9.0949470177292824E-13</v>
      </c>
      <c r="CG69" t="s">
        <v>48</v>
      </c>
      <c r="CH69">
        <v>0</v>
      </c>
    </row>
    <row r="70" spans="12:86" x14ac:dyDescent="0.35">
      <c r="Q70">
        <v>1</v>
      </c>
      <c r="AU70">
        <v>1</v>
      </c>
      <c r="AV70">
        <v>-1</v>
      </c>
      <c r="AW70">
        <v>1</v>
      </c>
      <c r="AX70">
        <v>-1</v>
      </c>
      <c r="BV70">
        <v>-1</v>
      </c>
      <c r="CE70">
        <f t="shared" si="0"/>
        <v>4.5474735088646412E-13</v>
      </c>
      <c r="CG70" t="s">
        <v>48</v>
      </c>
      <c r="CH70">
        <v>0</v>
      </c>
    </row>
    <row r="71" spans="12:86" x14ac:dyDescent="0.35">
      <c r="U71">
        <v>1</v>
      </c>
      <c r="AY71">
        <v>-1</v>
      </c>
      <c r="AZ71">
        <v>1</v>
      </c>
      <c r="BA71">
        <v>-1</v>
      </c>
      <c r="BB71">
        <v>1</v>
      </c>
      <c r="BW71">
        <v>-1</v>
      </c>
      <c r="CE71">
        <f t="shared" si="0"/>
        <v>0</v>
      </c>
      <c r="CG71" t="s">
        <v>48</v>
      </c>
      <c r="CH71">
        <v>0</v>
      </c>
    </row>
    <row r="72" spans="12:86" x14ac:dyDescent="0.35">
      <c r="V72">
        <v>1</v>
      </c>
      <c r="AY72">
        <v>1</v>
      </c>
      <c r="AZ72">
        <v>-1</v>
      </c>
      <c r="BC72">
        <v>-1</v>
      </c>
      <c r="BD72">
        <v>1</v>
      </c>
      <c r="BX72">
        <v>-1</v>
      </c>
      <c r="CE72">
        <f t="shared" si="0"/>
        <v>0</v>
      </c>
      <c r="CG72" t="s">
        <v>48</v>
      </c>
      <c r="CH72">
        <v>0</v>
      </c>
    </row>
    <row r="73" spans="12:86" x14ac:dyDescent="0.35">
      <c r="W73">
        <v>1</v>
      </c>
      <c r="BA73">
        <v>1</v>
      </c>
      <c r="BB73">
        <v>-1</v>
      </c>
      <c r="BC73">
        <v>1</v>
      </c>
      <c r="BD73">
        <v>-1</v>
      </c>
      <c r="BY73">
        <v>-1</v>
      </c>
      <c r="CE73">
        <f t="shared" si="0"/>
        <v>0</v>
      </c>
      <c r="CG73" t="s">
        <v>48</v>
      </c>
      <c r="CH73">
        <v>0</v>
      </c>
    </row>
    <row r="74" spans="12:86" x14ac:dyDescent="0.35">
      <c r="X74">
        <v>1</v>
      </c>
      <c r="BE74">
        <v>-1</v>
      </c>
      <c r="BF74">
        <v>1</v>
      </c>
      <c r="BG74">
        <v>-1</v>
      </c>
      <c r="BH74">
        <v>1</v>
      </c>
      <c r="BZ74">
        <v>-1</v>
      </c>
      <c r="CE74">
        <f t="shared" si="0"/>
        <v>0</v>
      </c>
      <c r="CG74" t="s">
        <v>48</v>
      </c>
      <c r="CH74">
        <v>0</v>
      </c>
    </row>
    <row r="75" spans="12:86" x14ac:dyDescent="0.35">
      <c r="Y75">
        <v>1</v>
      </c>
      <c r="BE75">
        <v>1</v>
      </c>
      <c r="BF75">
        <v>-1</v>
      </c>
      <c r="BI75">
        <v>-1</v>
      </c>
      <c r="BJ75">
        <v>1</v>
      </c>
      <c r="CA75">
        <v>-1</v>
      </c>
      <c r="CE75">
        <f t="shared" ref="CE75:CE94" si="1">SUMPRODUCT($C$5:$CB$5,C75:CB75)</f>
        <v>9.0949470177292824E-13</v>
      </c>
      <c r="CG75" t="s">
        <v>48</v>
      </c>
      <c r="CH75">
        <v>0</v>
      </c>
    </row>
    <row r="76" spans="12:86" x14ac:dyDescent="0.35">
      <c r="Z76">
        <v>1</v>
      </c>
      <c r="BG76">
        <v>1</v>
      </c>
      <c r="BH76">
        <v>-1</v>
      </c>
      <c r="BI76">
        <v>1</v>
      </c>
      <c r="BJ76">
        <v>-1</v>
      </c>
      <c r="CB76">
        <v>-1</v>
      </c>
      <c r="CE76">
        <f t="shared" si="1"/>
        <v>0</v>
      </c>
      <c r="CG76" t="s">
        <v>48</v>
      </c>
      <c r="CH76">
        <v>0</v>
      </c>
    </row>
    <row r="77" spans="12:86" x14ac:dyDescent="0.35">
      <c r="L77">
        <v>0.85</v>
      </c>
      <c r="BK77">
        <v>-1</v>
      </c>
      <c r="CE77">
        <f t="shared" si="1"/>
        <v>0</v>
      </c>
      <c r="CG77" t="s">
        <v>31</v>
      </c>
      <c r="CH77">
        <v>0</v>
      </c>
    </row>
    <row r="78" spans="12:86" x14ac:dyDescent="0.35">
      <c r="M78">
        <v>0.8</v>
      </c>
      <c r="BL78">
        <v>-1</v>
      </c>
      <c r="CE78">
        <f>SUMPRODUCT($C$5:$CB$5,C78:CB78)</f>
        <v>4.5474735088646412E-13</v>
      </c>
      <c r="CG78" t="s">
        <v>31</v>
      </c>
      <c r="CH78">
        <v>0</v>
      </c>
    </row>
    <row r="79" spans="12:86" x14ac:dyDescent="0.35">
      <c r="N79">
        <v>0.88</v>
      </c>
      <c r="BM79">
        <v>-1</v>
      </c>
      <c r="CE79">
        <f t="shared" si="1"/>
        <v>2.2737367544323206E-13</v>
      </c>
      <c r="CG79" t="s">
        <v>31</v>
      </c>
      <c r="CH79">
        <v>0</v>
      </c>
    </row>
    <row r="80" spans="12:86" x14ac:dyDescent="0.35">
      <c r="L80">
        <v>0.15</v>
      </c>
      <c r="O80">
        <v>0.22</v>
      </c>
      <c r="R80">
        <v>1</v>
      </c>
      <c r="BN80">
        <v>-1</v>
      </c>
      <c r="CE80">
        <f t="shared" si="1"/>
        <v>0</v>
      </c>
      <c r="CG80" t="s">
        <v>31</v>
      </c>
      <c r="CH80">
        <v>0</v>
      </c>
    </row>
    <row r="81" spans="6:86" x14ac:dyDescent="0.35">
      <c r="M81">
        <v>0.2</v>
      </c>
      <c r="P81">
        <v>0.25</v>
      </c>
      <c r="S81">
        <v>1</v>
      </c>
      <c r="BO81">
        <v>-1</v>
      </c>
      <c r="CE81">
        <f t="shared" si="1"/>
        <v>0</v>
      </c>
      <c r="CG81" t="s">
        <v>31</v>
      </c>
      <c r="CH81">
        <v>0</v>
      </c>
    </row>
    <row r="82" spans="6:86" x14ac:dyDescent="0.35">
      <c r="N82">
        <v>0.12</v>
      </c>
      <c r="Q82">
        <v>0.28000000000000003</v>
      </c>
      <c r="T82">
        <v>1</v>
      </c>
      <c r="BP82">
        <v>-1</v>
      </c>
      <c r="CE82">
        <f t="shared" si="1"/>
        <v>4.5474735088646412E-13</v>
      </c>
      <c r="CG82" t="s">
        <v>31</v>
      </c>
      <c r="CH82">
        <v>0</v>
      </c>
    </row>
    <row r="83" spans="6:86" x14ac:dyDescent="0.35">
      <c r="U83">
        <v>0.6</v>
      </c>
      <c r="BO83" t="s">
        <v>89</v>
      </c>
      <c r="BQ83">
        <v>-1</v>
      </c>
      <c r="CE83">
        <f t="shared" si="1"/>
        <v>-1.1368683772161603E-13</v>
      </c>
      <c r="CG83" t="s">
        <v>31</v>
      </c>
      <c r="CH83">
        <v>0</v>
      </c>
    </row>
    <row r="84" spans="6:86" x14ac:dyDescent="0.35">
      <c r="V84">
        <v>0.66</v>
      </c>
      <c r="BR84">
        <v>-1</v>
      </c>
      <c r="CE84">
        <f t="shared" si="1"/>
        <v>0</v>
      </c>
      <c r="CG84" t="s">
        <v>31</v>
      </c>
      <c r="CH84">
        <v>0</v>
      </c>
    </row>
    <row r="85" spans="6:86" x14ac:dyDescent="0.35">
      <c r="W85">
        <v>0.57999999999999996</v>
      </c>
      <c r="BS85">
        <v>-1</v>
      </c>
      <c r="CE85">
        <f t="shared" si="1"/>
        <v>0</v>
      </c>
      <c r="CG85" t="s">
        <v>31</v>
      </c>
      <c r="CH85">
        <v>0</v>
      </c>
    </row>
    <row r="86" spans="6:86" x14ac:dyDescent="0.35">
      <c r="X86">
        <v>0.7</v>
      </c>
      <c r="BT86">
        <v>-1</v>
      </c>
      <c r="CE86">
        <f t="shared" si="1"/>
        <v>0</v>
      </c>
      <c r="CG86" t="s">
        <v>31</v>
      </c>
      <c r="CH86">
        <v>0</v>
      </c>
    </row>
    <row r="87" spans="6:86" x14ac:dyDescent="0.35">
      <c r="Y87">
        <v>0.72</v>
      </c>
      <c r="BU87">
        <v>-1</v>
      </c>
      <c r="CE87">
        <f t="shared" si="1"/>
        <v>0</v>
      </c>
      <c r="CG87" t="s">
        <v>31</v>
      </c>
      <c r="CH87">
        <v>0</v>
      </c>
    </row>
    <row r="88" spans="6:86" x14ac:dyDescent="0.35">
      <c r="Z88">
        <v>0.64</v>
      </c>
      <c r="BV88">
        <v>-1</v>
      </c>
      <c r="CE88">
        <f t="shared" si="1"/>
        <v>0</v>
      </c>
      <c r="CG88" t="s">
        <v>31</v>
      </c>
      <c r="CH88">
        <v>0</v>
      </c>
    </row>
    <row r="89" spans="6:86" x14ac:dyDescent="0.35">
      <c r="R89">
        <v>-1</v>
      </c>
      <c r="U89">
        <v>0.4</v>
      </c>
      <c r="X89">
        <v>0.3</v>
      </c>
      <c r="CE89">
        <f t="shared" si="1"/>
        <v>2.2737367544323206E-13</v>
      </c>
      <c r="CG89" t="s">
        <v>31</v>
      </c>
      <c r="CH89">
        <v>0</v>
      </c>
    </row>
    <row r="90" spans="6:86" x14ac:dyDescent="0.35">
      <c r="S90">
        <v>-1</v>
      </c>
      <c r="V90">
        <v>0.34</v>
      </c>
      <c r="Y90">
        <v>0.28000000000000003</v>
      </c>
      <c r="CE90">
        <f t="shared" si="1"/>
        <v>2.2737367544323206E-13</v>
      </c>
      <c r="CG90" t="s">
        <v>31</v>
      </c>
      <c r="CH90">
        <v>0</v>
      </c>
    </row>
    <row r="91" spans="6:86" x14ac:dyDescent="0.35">
      <c r="T91">
        <v>-1</v>
      </c>
      <c r="W91">
        <v>0.42</v>
      </c>
      <c r="Z91">
        <v>0.36</v>
      </c>
      <c r="CE91">
        <f t="shared" si="1"/>
        <v>2.2737367544323206E-13</v>
      </c>
      <c r="CG91" t="s">
        <v>31</v>
      </c>
      <c r="CH91">
        <v>0</v>
      </c>
    </row>
    <row r="92" spans="6:86" x14ac:dyDescent="0.35">
      <c r="F92">
        <v>-1</v>
      </c>
      <c r="O92">
        <v>0.78</v>
      </c>
      <c r="CE92">
        <f t="shared" si="1"/>
        <v>4.5474735088646412E-13</v>
      </c>
      <c r="CG92" t="s">
        <v>31</v>
      </c>
      <c r="CH92">
        <v>0</v>
      </c>
    </row>
    <row r="93" spans="6:86" x14ac:dyDescent="0.35">
      <c r="G93">
        <v>-1</v>
      </c>
      <c r="P93">
        <v>0.75</v>
      </c>
      <c r="CE93">
        <f t="shared" si="1"/>
        <v>0</v>
      </c>
      <c r="CG93" t="s">
        <v>31</v>
      </c>
      <c r="CH93">
        <v>0</v>
      </c>
    </row>
    <row r="94" spans="6:86" x14ac:dyDescent="0.35">
      <c r="H94">
        <v>-1</v>
      </c>
      <c r="Q94">
        <v>0.72</v>
      </c>
      <c r="CE94">
        <f t="shared" si="1"/>
        <v>0</v>
      </c>
      <c r="CG94" t="s">
        <v>31</v>
      </c>
      <c r="CH9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AE42-8013-4B6F-A78D-35935921D0F8}">
  <dimension ref="A1:CH93"/>
  <sheetViews>
    <sheetView zoomScale="115" zoomScaleNormal="115" workbookViewId="0">
      <selection activeCell="A5" sqref="A5:XFD5"/>
    </sheetView>
  </sheetViews>
  <sheetFormatPr defaultRowHeight="14.5" x14ac:dyDescent="0.35"/>
  <cols>
    <col min="1" max="1" width="26.81640625" bestFit="1" customWidth="1"/>
    <col min="2" max="2" width="12.7265625" bestFit="1" customWidth="1"/>
    <col min="3" max="80" width="8.7265625" customWidth="1"/>
    <col min="82" max="82" width="8.7265625" customWidth="1"/>
    <col min="83" max="83" width="13.26953125" bestFit="1" customWidth="1"/>
    <col min="85" max="85" width="3.1796875" bestFit="1" customWidth="1"/>
    <col min="86" max="86" width="6.36328125" bestFit="1" customWidth="1"/>
  </cols>
  <sheetData>
    <row r="1" spans="1:86" s="4" customFormat="1" ht="16.5" x14ac:dyDescent="0.45">
      <c r="A1" s="4" t="s">
        <v>0</v>
      </c>
      <c r="C1" s="4" t="s">
        <v>24</v>
      </c>
      <c r="D1" s="4" t="s">
        <v>23</v>
      </c>
      <c r="E1" s="4" t="s">
        <v>22</v>
      </c>
      <c r="F1" s="4" t="s">
        <v>21</v>
      </c>
      <c r="G1" s="4" t="s">
        <v>20</v>
      </c>
      <c r="H1" s="4" t="s">
        <v>19</v>
      </c>
      <c r="I1" s="4" t="s">
        <v>18</v>
      </c>
      <c r="J1" s="4" t="s">
        <v>17</v>
      </c>
      <c r="K1" s="4" t="s">
        <v>16</v>
      </c>
      <c r="L1" s="4" t="s">
        <v>32</v>
      </c>
      <c r="M1" s="4" t="s">
        <v>33</v>
      </c>
      <c r="N1" s="4" t="s">
        <v>34</v>
      </c>
      <c r="O1" s="4" t="s">
        <v>35</v>
      </c>
      <c r="P1" s="4" t="s">
        <v>36</v>
      </c>
      <c r="Q1" s="4" t="s">
        <v>37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  <c r="AA1" s="4" t="s">
        <v>15</v>
      </c>
      <c r="AB1" s="4" t="s">
        <v>51</v>
      </c>
      <c r="AC1" s="4" t="s">
        <v>14</v>
      </c>
      <c r="AD1" s="4" t="s">
        <v>52</v>
      </c>
      <c r="AE1" s="4" t="s">
        <v>13</v>
      </c>
      <c r="AF1" s="4" t="s">
        <v>53</v>
      </c>
      <c r="AG1" s="4" t="s">
        <v>12</v>
      </c>
      <c r="AH1" s="4" t="s">
        <v>54</v>
      </c>
      <c r="AI1" s="4" t="s">
        <v>11</v>
      </c>
      <c r="AJ1" s="4" t="s">
        <v>55</v>
      </c>
      <c r="AK1" s="4" t="s">
        <v>10</v>
      </c>
      <c r="AL1" s="4" t="s">
        <v>56</v>
      </c>
      <c r="AM1" s="4" t="s">
        <v>9</v>
      </c>
      <c r="AN1" s="4" t="s">
        <v>57</v>
      </c>
      <c r="AO1" s="4" t="s">
        <v>8</v>
      </c>
      <c r="AP1" s="4" t="s">
        <v>58</v>
      </c>
      <c r="AQ1" s="4" t="s">
        <v>7</v>
      </c>
      <c r="AR1" s="4" t="s">
        <v>59</v>
      </c>
      <c r="AS1" s="4" t="s">
        <v>6</v>
      </c>
      <c r="AT1" s="4" t="s">
        <v>60</v>
      </c>
      <c r="AU1" s="4" t="s">
        <v>5</v>
      </c>
      <c r="AV1" s="4" t="s">
        <v>61</v>
      </c>
      <c r="AW1" s="4" t="s">
        <v>4</v>
      </c>
      <c r="AX1" s="4" t="s">
        <v>62</v>
      </c>
      <c r="AY1" s="4" t="s">
        <v>3</v>
      </c>
      <c r="AZ1" s="4" t="s">
        <v>63</v>
      </c>
      <c r="BA1" s="4" t="s">
        <v>2</v>
      </c>
      <c r="BB1" s="4" t="s">
        <v>64</v>
      </c>
      <c r="BC1" s="4" t="s">
        <v>1</v>
      </c>
      <c r="BD1" s="4" t="s">
        <v>65</v>
      </c>
      <c r="BE1" s="4" t="s">
        <v>25</v>
      </c>
      <c r="BF1" s="4" t="s">
        <v>66</v>
      </c>
      <c r="BG1" s="4" t="s">
        <v>26</v>
      </c>
      <c r="BH1" s="4" t="s">
        <v>67</v>
      </c>
      <c r="BI1" s="4" t="s">
        <v>27</v>
      </c>
      <c r="BJ1" s="4" t="s">
        <v>68</v>
      </c>
      <c r="BK1" s="4" t="s">
        <v>71</v>
      </c>
      <c r="BL1" s="4" t="s">
        <v>72</v>
      </c>
      <c r="BM1" s="4" t="s">
        <v>73</v>
      </c>
      <c r="BN1" s="4" t="s">
        <v>74</v>
      </c>
      <c r="BO1" s="4" t="s">
        <v>75</v>
      </c>
      <c r="BP1" s="4" t="s">
        <v>76</v>
      </c>
      <c r="BQ1" s="4" t="s">
        <v>77</v>
      </c>
      <c r="BR1" s="4" t="s">
        <v>78</v>
      </c>
      <c r="BS1" s="4" t="s">
        <v>79</v>
      </c>
      <c r="BT1" s="4" t="s">
        <v>80</v>
      </c>
      <c r="BU1" s="4" t="s">
        <v>81</v>
      </c>
      <c r="BV1" s="4" t="s">
        <v>82</v>
      </c>
      <c r="BW1" s="4" t="s">
        <v>83</v>
      </c>
      <c r="BX1" s="4" t="s">
        <v>84</v>
      </c>
      <c r="BY1" s="4" t="s">
        <v>85</v>
      </c>
      <c r="BZ1" s="4" t="s">
        <v>86</v>
      </c>
      <c r="CA1" s="4" t="s">
        <v>87</v>
      </c>
      <c r="CB1" s="4" t="s">
        <v>88</v>
      </c>
      <c r="CE1" s="4" t="s">
        <v>50</v>
      </c>
    </row>
    <row r="3" spans="1:86" x14ac:dyDescent="0.35">
      <c r="A3" t="s">
        <v>28</v>
      </c>
      <c r="C3">
        <v>180</v>
      </c>
      <c r="D3">
        <v>100</v>
      </c>
      <c r="E3">
        <v>120</v>
      </c>
      <c r="F3">
        <v>100</v>
      </c>
      <c r="G3">
        <v>125</v>
      </c>
      <c r="H3">
        <v>180</v>
      </c>
      <c r="I3">
        <v>160</v>
      </c>
      <c r="J3">
        <v>140</v>
      </c>
      <c r="K3">
        <v>100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40</v>
      </c>
      <c r="AB3">
        <v>40</v>
      </c>
      <c r="AC3">
        <v>45</v>
      </c>
      <c r="AD3">
        <v>45</v>
      </c>
      <c r="AE3">
        <v>48</v>
      </c>
      <c r="AF3">
        <v>48</v>
      </c>
      <c r="AG3">
        <v>45</v>
      </c>
      <c r="AH3">
        <v>45</v>
      </c>
      <c r="AI3">
        <v>50</v>
      </c>
      <c r="AJ3">
        <v>50</v>
      </c>
      <c r="AK3">
        <v>45</v>
      </c>
      <c r="AL3">
        <v>45</v>
      </c>
      <c r="AM3">
        <v>40</v>
      </c>
      <c r="AN3">
        <v>40</v>
      </c>
      <c r="AO3">
        <v>45</v>
      </c>
      <c r="AP3">
        <v>45</v>
      </c>
      <c r="AQ3">
        <v>48</v>
      </c>
      <c r="AR3">
        <v>48</v>
      </c>
      <c r="AS3">
        <v>50</v>
      </c>
      <c r="AT3">
        <v>50</v>
      </c>
      <c r="AU3">
        <v>55</v>
      </c>
      <c r="AV3">
        <v>55</v>
      </c>
      <c r="AW3">
        <v>60</v>
      </c>
      <c r="AX3">
        <v>60</v>
      </c>
      <c r="AY3">
        <v>55</v>
      </c>
      <c r="AZ3">
        <v>55</v>
      </c>
      <c r="BA3">
        <v>60</v>
      </c>
      <c r="BB3">
        <v>60</v>
      </c>
      <c r="BC3">
        <v>50</v>
      </c>
      <c r="BD3">
        <v>50</v>
      </c>
      <c r="BE3">
        <v>55</v>
      </c>
      <c r="BF3">
        <v>55</v>
      </c>
      <c r="BG3">
        <v>60</v>
      </c>
      <c r="BH3">
        <v>60</v>
      </c>
      <c r="BI3">
        <v>50</v>
      </c>
      <c r="BJ3">
        <v>50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5" spans="1:86" x14ac:dyDescent="0.35">
      <c r="A5" t="s">
        <v>49</v>
      </c>
      <c r="C5" s="2">
        <v>0</v>
      </c>
      <c r="D5" s="2">
        <v>2905.9600000000005</v>
      </c>
      <c r="E5" s="2">
        <v>1444.4319999999996</v>
      </c>
      <c r="F5" s="2">
        <v>3788.1999999999994</v>
      </c>
      <c r="G5" s="2">
        <v>2800</v>
      </c>
      <c r="H5" s="2">
        <v>1080</v>
      </c>
      <c r="I5" s="2">
        <v>1295.8400000000006</v>
      </c>
      <c r="J5" s="2">
        <v>3200</v>
      </c>
      <c r="K5" s="2">
        <v>6385.5679999999993</v>
      </c>
      <c r="L5" s="2">
        <v>500</v>
      </c>
      <c r="M5" s="2">
        <v>3101.2000000000003</v>
      </c>
      <c r="N5" s="2">
        <v>1641.3999999999996</v>
      </c>
      <c r="O5" s="2">
        <v>4856.6666666666661</v>
      </c>
      <c r="P5" s="2">
        <v>3733.3333333333335</v>
      </c>
      <c r="Q5" s="2">
        <v>1500</v>
      </c>
      <c r="R5" s="2">
        <v>2150</v>
      </c>
      <c r="S5" s="2">
        <v>3148.8</v>
      </c>
      <c r="T5" s="2">
        <v>2268.6</v>
      </c>
      <c r="U5" s="2">
        <v>1250</v>
      </c>
      <c r="V5" s="2">
        <v>4320</v>
      </c>
      <c r="W5" s="2">
        <v>2830</v>
      </c>
      <c r="X5" s="2">
        <v>5500.0000000000009</v>
      </c>
      <c r="Y5" s="2">
        <v>6000</v>
      </c>
      <c r="Z5" s="2">
        <v>3000</v>
      </c>
      <c r="AA5" s="2">
        <v>0</v>
      </c>
      <c r="AB5" s="2">
        <v>425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1997.6266666666668</v>
      </c>
      <c r="AK5" s="2">
        <v>0</v>
      </c>
      <c r="AL5" s="2">
        <v>1502.3733333333337</v>
      </c>
      <c r="AM5" s="2">
        <v>0</v>
      </c>
      <c r="AN5" s="2">
        <v>250.00000000000011</v>
      </c>
      <c r="AO5" s="2">
        <v>0</v>
      </c>
      <c r="AP5" s="2">
        <v>0</v>
      </c>
      <c r="AQ5" s="2">
        <v>0</v>
      </c>
      <c r="AR5" s="2">
        <v>0</v>
      </c>
      <c r="AS5" s="2">
        <v>586.66666666666526</v>
      </c>
      <c r="AT5" s="2">
        <v>0</v>
      </c>
      <c r="AU5" s="2">
        <v>420.0000000000004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50.000000000000796</v>
      </c>
      <c r="BF5" s="2">
        <v>0</v>
      </c>
      <c r="BG5" s="2">
        <v>949.99999999999989</v>
      </c>
      <c r="BH5" s="2">
        <v>0</v>
      </c>
      <c r="BI5" s="2">
        <v>0</v>
      </c>
      <c r="BJ5" s="2">
        <v>0</v>
      </c>
      <c r="BK5" s="2">
        <v>425</v>
      </c>
      <c r="BL5" s="2">
        <v>2480.96</v>
      </c>
      <c r="BM5" s="2">
        <v>1444.4319999999996</v>
      </c>
      <c r="BN5" s="2">
        <v>3293.4666666666667</v>
      </c>
      <c r="BO5" s="2">
        <v>4702.3733333333339</v>
      </c>
      <c r="BP5" s="2">
        <v>2885.5679999999993</v>
      </c>
      <c r="BQ5" s="2">
        <v>750.00000000000011</v>
      </c>
      <c r="BR5" s="2">
        <v>2851.2000000000003</v>
      </c>
      <c r="BS5" s="2">
        <v>1641.3999999999999</v>
      </c>
      <c r="BT5" s="2">
        <v>3850.0000000000005</v>
      </c>
      <c r="BU5" s="2">
        <v>4320</v>
      </c>
      <c r="BV5" s="2">
        <v>1920</v>
      </c>
      <c r="BW5" s="2">
        <v>1250</v>
      </c>
      <c r="BX5" s="2">
        <v>4320</v>
      </c>
      <c r="BY5" s="2">
        <v>2830</v>
      </c>
      <c r="BZ5" s="2">
        <v>4500</v>
      </c>
      <c r="CA5" s="2">
        <v>6050</v>
      </c>
      <c r="CB5" s="2">
        <v>3950</v>
      </c>
      <c r="CD5" t="s">
        <v>48</v>
      </c>
      <c r="CE5" s="3">
        <f>SUMPRODUCT(C3:CB3,C5:CB5)</f>
        <v>2987710.5066666668</v>
      </c>
    </row>
    <row r="7" spans="1:86" x14ac:dyDescent="0.35">
      <c r="A7" t="s">
        <v>29</v>
      </c>
      <c r="B7" s="1">
        <f>CE5</f>
        <v>2987710.5066666668</v>
      </c>
    </row>
    <row r="9" spans="1:86" x14ac:dyDescent="0.35">
      <c r="A9" t="s">
        <v>30</v>
      </c>
      <c r="CE9" t="s">
        <v>69</v>
      </c>
      <c r="CH9" t="s">
        <v>70</v>
      </c>
    </row>
    <row r="10" spans="1:86" x14ac:dyDescent="0.35">
      <c r="C10">
        <v>1</v>
      </c>
      <c r="CE10">
        <f t="shared" ref="CE10:CE41" si="0">SUMPRODUCT($C$5:$CB$5,C10:CB10)</f>
        <v>0</v>
      </c>
      <c r="CG10" t="s">
        <v>31</v>
      </c>
      <c r="CH10">
        <v>500</v>
      </c>
    </row>
    <row r="11" spans="1:86" x14ac:dyDescent="0.35">
      <c r="D11">
        <v>1</v>
      </c>
      <c r="CE11">
        <f t="shared" si="0"/>
        <v>2905.9600000000005</v>
      </c>
      <c r="CG11" t="s">
        <v>31</v>
      </c>
      <c r="CH11">
        <v>3600</v>
      </c>
    </row>
    <row r="12" spans="1:86" x14ac:dyDescent="0.35">
      <c r="E12">
        <v>1</v>
      </c>
      <c r="CE12">
        <f t="shared" si="0"/>
        <v>1444.4319999999996</v>
      </c>
      <c r="CG12" t="s">
        <v>31</v>
      </c>
      <c r="CH12">
        <v>1650</v>
      </c>
    </row>
    <row r="13" spans="1:86" x14ac:dyDescent="0.35">
      <c r="F13">
        <v>1</v>
      </c>
      <c r="CE13">
        <f t="shared" si="0"/>
        <v>3788.1999999999994</v>
      </c>
      <c r="CG13" t="s">
        <v>31</v>
      </c>
      <c r="CH13">
        <v>5500</v>
      </c>
    </row>
    <row r="14" spans="1:86" x14ac:dyDescent="0.35">
      <c r="G14">
        <v>1</v>
      </c>
      <c r="CE14">
        <f t="shared" si="0"/>
        <v>2800</v>
      </c>
      <c r="CG14" t="s">
        <v>31</v>
      </c>
      <c r="CH14">
        <v>2800</v>
      </c>
    </row>
    <row r="15" spans="1:86" x14ac:dyDescent="0.35">
      <c r="H15">
        <v>1</v>
      </c>
      <c r="CE15">
        <f t="shared" si="0"/>
        <v>1080</v>
      </c>
      <c r="CG15" t="s">
        <v>31</v>
      </c>
      <c r="CH15">
        <v>1600</v>
      </c>
    </row>
    <row r="16" spans="1:86" x14ac:dyDescent="0.35">
      <c r="I16">
        <v>1</v>
      </c>
      <c r="CE16">
        <f t="shared" si="0"/>
        <v>1295.8400000000006</v>
      </c>
      <c r="CG16" t="s">
        <v>31</v>
      </c>
      <c r="CH16">
        <v>1800</v>
      </c>
    </row>
    <row r="17" spans="10:86" x14ac:dyDescent="0.35">
      <c r="J17">
        <v>1</v>
      </c>
      <c r="CE17">
        <f t="shared" si="0"/>
        <v>3200</v>
      </c>
      <c r="CG17" t="s">
        <v>31</v>
      </c>
      <c r="CH17">
        <v>3200</v>
      </c>
    </row>
    <row r="18" spans="10:86" x14ac:dyDescent="0.35">
      <c r="K18">
        <v>1</v>
      </c>
      <c r="CE18">
        <f t="shared" si="0"/>
        <v>6385.5679999999993</v>
      </c>
      <c r="CG18" t="s">
        <v>31</v>
      </c>
      <c r="CH18">
        <v>11000</v>
      </c>
    </row>
    <row r="19" spans="10:86" x14ac:dyDescent="0.35">
      <c r="L19">
        <v>1</v>
      </c>
      <c r="CE19">
        <f t="shared" si="0"/>
        <v>500</v>
      </c>
      <c r="CG19" t="s">
        <v>31</v>
      </c>
      <c r="CH19">
        <v>500</v>
      </c>
    </row>
    <row r="20" spans="10:86" x14ac:dyDescent="0.35">
      <c r="M20">
        <v>1</v>
      </c>
      <c r="CE20">
        <f t="shared" si="0"/>
        <v>3101.2000000000003</v>
      </c>
      <c r="CG20" t="s">
        <v>31</v>
      </c>
      <c r="CH20">
        <v>3200</v>
      </c>
    </row>
    <row r="21" spans="10:86" x14ac:dyDescent="0.35">
      <c r="N21">
        <v>1</v>
      </c>
      <c r="CE21">
        <f t="shared" si="0"/>
        <v>1641.3999999999996</v>
      </c>
      <c r="CG21" t="s">
        <v>31</v>
      </c>
      <c r="CH21">
        <v>3000</v>
      </c>
    </row>
    <row r="22" spans="10:86" x14ac:dyDescent="0.35">
      <c r="O22">
        <v>1</v>
      </c>
      <c r="CE22">
        <f t="shared" si="0"/>
        <v>4856.6666666666661</v>
      </c>
      <c r="CG22" t="s">
        <v>31</v>
      </c>
      <c r="CH22">
        <v>6500</v>
      </c>
    </row>
    <row r="23" spans="10:86" x14ac:dyDescent="0.35">
      <c r="P23">
        <v>1</v>
      </c>
      <c r="CE23">
        <f t="shared" si="0"/>
        <v>3733.3333333333335</v>
      </c>
      <c r="CG23" t="s">
        <v>31</v>
      </c>
      <c r="CH23">
        <v>4200</v>
      </c>
    </row>
    <row r="24" spans="10:86" x14ac:dyDescent="0.35">
      <c r="Q24">
        <v>1</v>
      </c>
      <c r="CE24">
        <f t="shared" si="0"/>
        <v>1500</v>
      </c>
      <c r="CG24" t="s">
        <v>31</v>
      </c>
      <c r="CH24">
        <v>1500</v>
      </c>
    </row>
    <row r="25" spans="10:86" x14ac:dyDescent="0.35">
      <c r="R25">
        <v>1</v>
      </c>
      <c r="CE25">
        <f t="shared" si="0"/>
        <v>2150</v>
      </c>
      <c r="CG25" t="s">
        <v>31</v>
      </c>
      <c r="CH25">
        <v>2500</v>
      </c>
    </row>
    <row r="26" spans="10:86" x14ac:dyDescent="0.35">
      <c r="S26">
        <v>1</v>
      </c>
      <c r="CE26">
        <f t="shared" si="0"/>
        <v>3148.8</v>
      </c>
      <c r="CG26" t="s">
        <v>31</v>
      </c>
      <c r="CH26">
        <v>3500</v>
      </c>
    </row>
    <row r="27" spans="10:86" x14ac:dyDescent="0.35">
      <c r="T27">
        <v>1</v>
      </c>
      <c r="CE27">
        <f t="shared" si="0"/>
        <v>2268.6</v>
      </c>
      <c r="CG27" t="s">
        <v>31</v>
      </c>
      <c r="CH27">
        <v>3800</v>
      </c>
    </row>
    <row r="28" spans="10:86" x14ac:dyDescent="0.35">
      <c r="U28">
        <v>1</v>
      </c>
      <c r="CE28">
        <f t="shared" si="0"/>
        <v>1250</v>
      </c>
      <c r="CG28" t="s">
        <v>31</v>
      </c>
      <c r="CH28">
        <v>2400</v>
      </c>
    </row>
    <row r="29" spans="10:86" x14ac:dyDescent="0.35">
      <c r="V29">
        <v>1</v>
      </c>
      <c r="CE29">
        <f t="shared" si="0"/>
        <v>4320</v>
      </c>
      <c r="CG29" t="s">
        <v>31</v>
      </c>
      <c r="CH29">
        <v>5800</v>
      </c>
    </row>
    <row r="30" spans="10:86" x14ac:dyDescent="0.35">
      <c r="W30">
        <v>1</v>
      </c>
      <c r="CE30">
        <f t="shared" si="0"/>
        <v>2830</v>
      </c>
      <c r="CG30" t="s">
        <v>31</v>
      </c>
      <c r="CH30">
        <v>4000</v>
      </c>
    </row>
    <row r="31" spans="10:86" x14ac:dyDescent="0.35">
      <c r="X31">
        <v>1</v>
      </c>
      <c r="CE31">
        <f t="shared" si="0"/>
        <v>5500.0000000000009</v>
      </c>
      <c r="CG31" t="s">
        <v>31</v>
      </c>
      <c r="CH31">
        <v>9000</v>
      </c>
    </row>
    <row r="32" spans="10:86" x14ac:dyDescent="0.35">
      <c r="Y32">
        <v>1</v>
      </c>
      <c r="CE32">
        <f t="shared" si="0"/>
        <v>6000</v>
      </c>
      <c r="CG32" t="s">
        <v>31</v>
      </c>
      <c r="CH32">
        <v>6000</v>
      </c>
    </row>
    <row r="33" spans="26:86" x14ac:dyDescent="0.35">
      <c r="Z33">
        <v>1</v>
      </c>
      <c r="CE33">
        <f t="shared" si="0"/>
        <v>3000</v>
      </c>
      <c r="CG33" t="s">
        <v>31</v>
      </c>
      <c r="CH33">
        <v>3000</v>
      </c>
    </row>
    <row r="34" spans="26:86" x14ac:dyDescent="0.35">
      <c r="AA34">
        <v>1</v>
      </c>
      <c r="AC34">
        <v>1</v>
      </c>
      <c r="CE34">
        <f t="shared" si="0"/>
        <v>0</v>
      </c>
      <c r="CG34" t="s">
        <v>31</v>
      </c>
      <c r="CH34">
        <v>50</v>
      </c>
    </row>
    <row r="35" spans="26:86" x14ac:dyDescent="0.35">
      <c r="AB35">
        <v>1</v>
      </c>
      <c r="AE35">
        <v>1</v>
      </c>
      <c r="CE35">
        <f t="shared" si="0"/>
        <v>425</v>
      </c>
      <c r="CG35" t="s">
        <v>31</v>
      </c>
      <c r="CH35">
        <v>700</v>
      </c>
    </row>
    <row r="36" spans="26:86" x14ac:dyDescent="0.35">
      <c r="AD36">
        <v>1</v>
      </c>
      <c r="AF36">
        <v>1</v>
      </c>
      <c r="CE36">
        <f t="shared" si="0"/>
        <v>0</v>
      </c>
      <c r="CG36" t="s">
        <v>31</v>
      </c>
      <c r="CH36">
        <v>200</v>
      </c>
    </row>
    <row r="37" spans="26:86" x14ac:dyDescent="0.35">
      <c r="AG37">
        <v>1</v>
      </c>
      <c r="AI37">
        <v>1</v>
      </c>
      <c r="CE37">
        <f t="shared" si="0"/>
        <v>0</v>
      </c>
      <c r="CG37" t="s">
        <v>31</v>
      </c>
      <c r="CH37">
        <v>700</v>
      </c>
    </row>
    <row r="38" spans="26:86" x14ac:dyDescent="0.35">
      <c r="AH38">
        <v>1</v>
      </c>
      <c r="AK38">
        <v>1</v>
      </c>
      <c r="CE38">
        <f t="shared" si="0"/>
        <v>0</v>
      </c>
      <c r="CG38" t="s">
        <v>31</v>
      </c>
      <c r="CH38">
        <v>1200</v>
      </c>
    </row>
    <row r="39" spans="26:86" x14ac:dyDescent="0.35">
      <c r="AJ39">
        <v>1</v>
      </c>
      <c r="AL39">
        <v>1</v>
      </c>
      <c r="CE39">
        <f t="shared" si="0"/>
        <v>3500.0000000000005</v>
      </c>
      <c r="CG39" t="s">
        <v>31</v>
      </c>
      <c r="CH39">
        <v>3500</v>
      </c>
    </row>
    <row r="40" spans="26:86" x14ac:dyDescent="0.35">
      <c r="AM40">
        <v>1</v>
      </c>
      <c r="AO40">
        <v>1</v>
      </c>
      <c r="CE40">
        <f t="shared" si="0"/>
        <v>0</v>
      </c>
      <c r="CG40" t="s">
        <v>31</v>
      </c>
      <c r="CH40">
        <v>50</v>
      </c>
    </row>
    <row r="41" spans="26:86" x14ac:dyDescent="0.35">
      <c r="AN41">
        <v>1</v>
      </c>
      <c r="AQ41">
        <v>1</v>
      </c>
      <c r="CE41">
        <f t="shared" si="0"/>
        <v>250.00000000000011</v>
      </c>
      <c r="CG41" t="s">
        <v>31</v>
      </c>
      <c r="CH41">
        <v>400</v>
      </c>
    </row>
    <row r="42" spans="26:86" x14ac:dyDescent="0.35">
      <c r="AP42">
        <v>1</v>
      </c>
      <c r="AR42">
        <v>1</v>
      </c>
      <c r="CE42">
        <f t="shared" ref="CE42:CE73" si="1">SUMPRODUCT($C$5:$CB$5,C42:CB42)</f>
        <v>0</v>
      </c>
      <c r="CG42" t="s">
        <v>31</v>
      </c>
      <c r="CH42">
        <v>100</v>
      </c>
    </row>
    <row r="43" spans="26:86" x14ac:dyDescent="0.35">
      <c r="AS43">
        <v>1</v>
      </c>
      <c r="AU43">
        <v>1</v>
      </c>
      <c r="CE43">
        <f t="shared" si="1"/>
        <v>1006.6666666666656</v>
      </c>
      <c r="CG43" t="s">
        <v>31</v>
      </c>
      <c r="CH43">
        <v>1200</v>
      </c>
    </row>
    <row r="44" spans="26:86" x14ac:dyDescent="0.35">
      <c r="AT44">
        <v>1</v>
      </c>
      <c r="AW44">
        <v>1</v>
      </c>
      <c r="CE44">
        <f t="shared" si="1"/>
        <v>0</v>
      </c>
      <c r="CG44" t="s">
        <v>31</v>
      </c>
      <c r="CH44">
        <v>600</v>
      </c>
    </row>
    <row r="45" spans="26:86" x14ac:dyDescent="0.35">
      <c r="AV45">
        <v>1</v>
      </c>
      <c r="AX45">
        <v>1</v>
      </c>
      <c r="CE45">
        <f t="shared" si="1"/>
        <v>0</v>
      </c>
      <c r="CG45" t="s">
        <v>31</v>
      </c>
      <c r="CH45">
        <v>300</v>
      </c>
    </row>
    <row r="46" spans="26:86" x14ac:dyDescent="0.35">
      <c r="AY46">
        <v>1</v>
      </c>
      <c r="BA46">
        <v>1</v>
      </c>
      <c r="CE46">
        <f t="shared" si="1"/>
        <v>0</v>
      </c>
      <c r="CG46" t="s">
        <v>31</v>
      </c>
      <c r="CH46">
        <v>300</v>
      </c>
    </row>
    <row r="47" spans="26:86" x14ac:dyDescent="0.35">
      <c r="AZ47">
        <v>1</v>
      </c>
      <c r="BC47">
        <v>1</v>
      </c>
      <c r="CE47">
        <f t="shared" si="1"/>
        <v>0</v>
      </c>
      <c r="CG47" t="s">
        <v>31</v>
      </c>
      <c r="CH47">
        <v>600</v>
      </c>
    </row>
    <row r="48" spans="26:86" x14ac:dyDescent="0.35">
      <c r="BB48">
        <v>1</v>
      </c>
      <c r="BD48">
        <v>1</v>
      </c>
      <c r="CE48">
        <f t="shared" si="1"/>
        <v>0</v>
      </c>
      <c r="CG48" t="s">
        <v>31</v>
      </c>
      <c r="CH48">
        <v>500</v>
      </c>
    </row>
    <row r="49" spans="3:86" x14ac:dyDescent="0.35">
      <c r="BE49">
        <v>1</v>
      </c>
      <c r="BG49">
        <v>1</v>
      </c>
      <c r="CE49">
        <f t="shared" si="1"/>
        <v>1000.0000000000007</v>
      </c>
      <c r="CG49" t="s">
        <v>31</v>
      </c>
      <c r="CH49">
        <v>1500</v>
      </c>
    </row>
    <row r="50" spans="3:86" x14ac:dyDescent="0.35">
      <c r="BF50">
        <v>1</v>
      </c>
      <c r="BI50">
        <v>1</v>
      </c>
      <c r="CE50">
        <f t="shared" si="1"/>
        <v>0</v>
      </c>
      <c r="CG50" t="s">
        <v>31</v>
      </c>
      <c r="CH50">
        <v>500</v>
      </c>
    </row>
    <row r="51" spans="3:86" x14ac:dyDescent="0.35">
      <c r="BH51">
        <v>1</v>
      </c>
      <c r="BJ51">
        <v>1</v>
      </c>
      <c r="CE51">
        <f t="shared" si="1"/>
        <v>0</v>
      </c>
      <c r="CG51" t="s">
        <v>31</v>
      </c>
      <c r="CH51">
        <v>400</v>
      </c>
    </row>
    <row r="52" spans="3:86" x14ac:dyDescent="0.35">
      <c r="U52">
        <v>1</v>
      </c>
      <c r="AY52">
        <v>-1</v>
      </c>
      <c r="AZ52">
        <v>1</v>
      </c>
      <c r="BA52">
        <v>-1</v>
      </c>
      <c r="BB52">
        <v>1</v>
      </c>
      <c r="CE52">
        <f t="shared" si="1"/>
        <v>1250</v>
      </c>
      <c r="CG52" t="s">
        <v>47</v>
      </c>
      <c r="CH52">
        <v>1250</v>
      </c>
    </row>
    <row r="53" spans="3:86" x14ac:dyDescent="0.35">
      <c r="V53">
        <v>1</v>
      </c>
      <c r="AY53">
        <v>1</v>
      </c>
      <c r="AZ53">
        <v>-1</v>
      </c>
      <c r="BC53">
        <v>-1</v>
      </c>
      <c r="BD53">
        <v>1</v>
      </c>
      <c r="CE53">
        <f t="shared" si="1"/>
        <v>4320</v>
      </c>
      <c r="CG53" t="s">
        <v>47</v>
      </c>
      <c r="CH53">
        <v>4320</v>
      </c>
    </row>
    <row r="54" spans="3:86" x14ac:dyDescent="0.35">
      <c r="W54">
        <v>1</v>
      </c>
      <c r="BA54">
        <v>1</v>
      </c>
      <c r="BB54">
        <v>-1</v>
      </c>
      <c r="BC54">
        <v>1</v>
      </c>
      <c r="BD54">
        <v>-1</v>
      </c>
      <c r="CE54">
        <f t="shared" si="1"/>
        <v>2830</v>
      </c>
      <c r="CG54" t="s">
        <v>47</v>
      </c>
      <c r="CH54">
        <v>2830</v>
      </c>
    </row>
    <row r="55" spans="3:86" x14ac:dyDescent="0.35">
      <c r="X55">
        <v>1</v>
      </c>
      <c r="BE55">
        <v>-1</v>
      </c>
      <c r="BF55">
        <v>1</v>
      </c>
      <c r="BG55">
        <v>-1</v>
      </c>
      <c r="BH55">
        <v>1</v>
      </c>
      <c r="CE55">
        <f t="shared" si="1"/>
        <v>4500</v>
      </c>
      <c r="CG55" t="s">
        <v>47</v>
      </c>
      <c r="CH55">
        <v>4500</v>
      </c>
    </row>
    <row r="56" spans="3:86" x14ac:dyDescent="0.35">
      <c r="Y56">
        <v>1</v>
      </c>
      <c r="BE56">
        <v>1</v>
      </c>
      <c r="BF56">
        <v>-1</v>
      </c>
      <c r="BI56">
        <v>-1</v>
      </c>
      <c r="BJ56">
        <v>1</v>
      </c>
      <c r="CE56">
        <f t="shared" si="1"/>
        <v>6050.0000000000009</v>
      </c>
      <c r="CG56" t="s">
        <v>47</v>
      </c>
      <c r="CH56">
        <v>6050</v>
      </c>
    </row>
    <row r="57" spans="3:86" x14ac:dyDescent="0.35">
      <c r="Z57">
        <v>1</v>
      </c>
      <c r="BG57">
        <v>1</v>
      </c>
      <c r="BH57">
        <v>-1</v>
      </c>
      <c r="BI57">
        <v>1</v>
      </c>
      <c r="BJ57">
        <v>-1</v>
      </c>
      <c r="CE57">
        <f t="shared" si="1"/>
        <v>3950</v>
      </c>
      <c r="CG57" t="s">
        <v>47</v>
      </c>
      <c r="CH57">
        <v>3950</v>
      </c>
    </row>
    <row r="58" spans="3:86" x14ac:dyDescent="0.35">
      <c r="C58">
        <v>1</v>
      </c>
      <c r="AA58">
        <v>-1</v>
      </c>
      <c r="AB58">
        <v>1</v>
      </c>
      <c r="AC58">
        <v>-1</v>
      </c>
      <c r="AD58">
        <v>1</v>
      </c>
      <c r="BK58">
        <v>-1</v>
      </c>
      <c r="CE58">
        <f t="shared" si="1"/>
        <v>0</v>
      </c>
      <c r="CG58" t="s">
        <v>48</v>
      </c>
      <c r="CH58">
        <v>0</v>
      </c>
    </row>
    <row r="59" spans="3:86" x14ac:dyDescent="0.35">
      <c r="D59">
        <v>1</v>
      </c>
      <c r="AA59">
        <v>1</v>
      </c>
      <c r="AB59">
        <v>-1</v>
      </c>
      <c r="AE59">
        <v>-1</v>
      </c>
      <c r="AF59">
        <v>1</v>
      </c>
      <c r="BL59">
        <v>-1</v>
      </c>
      <c r="CE59">
        <f t="shared" si="1"/>
        <v>4.5474735088646412E-13</v>
      </c>
      <c r="CG59" t="s">
        <v>48</v>
      </c>
      <c r="CH59">
        <v>0</v>
      </c>
    </row>
    <row r="60" spans="3:86" x14ac:dyDescent="0.35">
      <c r="E60">
        <v>1</v>
      </c>
      <c r="AC60">
        <v>1</v>
      </c>
      <c r="AD60">
        <v>-1</v>
      </c>
      <c r="AE60">
        <v>1</v>
      </c>
      <c r="AF60">
        <v>-1</v>
      </c>
      <c r="BM60">
        <v>-1</v>
      </c>
      <c r="CE60">
        <f t="shared" si="1"/>
        <v>0</v>
      </c>
      <c r="CG60" t="s">
        <v>48</v>
      </c>
      <c r="CH60">
        <v>0</v>
      </c>
    </row>
    <row r="61" spans="3:86" x14ac:dyDescent="0.35">
      <c r="I61">
        <v>1</v>
      </c>
      <c r="AG61">
        <v>-1</v>
      </c>
      <c r="AH61">
        <v>1</v>
      </c>
      <c r="AI61">
        <v>-1</v>
      </c>
      <c r="AJ61">
        <v>1</v>
      </c>
      <c r="BN61">
        <v>-1</v>
      </c>
      <c r="CE61">
        <f t="shared" si="1"/>
        <v>4.5474735088646412E-13</v>
      </c>
      <c r="CG61" t="s">
        <v>48</v>
      </c>
      <c r="CH61">
        <v>0</v>
      </c>
    </row>
    <row r="62" spans="3:86" x14ac:dyDescent="0.35">
      <c r="J62">
        <v>1</v>
      </c>
      <c r="AG62">
        <v>1</v>
      </c>
      <c r="AH62">
        <v>-1</v>
      </c>
      <c r="AK62">
        <v>-1</v>
      </c>
      <c r="AL62">
        <v>1</v>
      </c>
      <c r="BO62">
        <v>-1</v>
      </c>
      <c r="CE62">
        <f t="shared" si="1"/>
        <v>0</v>
      </c>
      <c r="CG62" t="s">
        <v>48</v>
      </c>
      <c r="CH62">
        <v>0</v>
      </c>
    </row>
    <row r="63" spans="3:86" x14ac:dyDescent="0.35">
      <c r="K63">
        <v>1</v>
      </c>
      <c r="AI63">
        <v>1</v>
      </c>
      <c r="AJ63">
        <v>-1</v>
      </c>
      <c r="AK63">
        <v>1</v>
      </c>
      <c r="AL63">
        <v>-1</v>
      </c>
      <c r="BP63">
        <v>-1</v>
      </c>
      <c r="CE63">
        <f t="shared" si="1"/>
        <v>-9.0949470177292824E-13</v>
      </c>
      <c r="CG63" t="s">
        <v>48</v>
      </c>
      <c r="CH63">
        <v>0</v>
      </c>
    </row>
    <row r="64" spans="3:86" x14ac:dyDescent="0.35">
      <c r="L64">
        <v>1</v>
      </c>
      <c r="AM64">
        <v>-1</v>
      </c>
      <c r="AN64">
        <v>1</v>
      </c>
      <c r="AO64">
        <v>-1</v>
      </c>
      <c r="AP64">
        <v>1</v>
      </c>
      <c r="BQ64">
        <v>-1</v>
      </c>
      <c r="CE64">
        <f t="shared" si="1"/>
        <v>0</v>
      </c>
      <c r="CG64" t="s">
        <v>48</v>
      </c>
      <c r="CH64">
        <v>0</v>
      </c>
    </row>
    <row r="65" spans="12:86" x14ac:dyDescent="0.35">
      <c r="M65">
        <v>1</v>
      </c>
      <c r="AM65">
        <v>1</v>
      </c>
      <c r="AN65">
        <v>-1</v>
      </c>
      <c r="AQ65">
        <v>-1</v>
      </c>
      <c r="AR65">
        <v>1</v>
      </c>
      <c r="BR65">
        <v>-1</v>
      </c>
      <c r="CE65">
        <f t="shared" si="1"/>
        <v>0</v>
      </c>
      <c r="CG65" t="s">
        <v>48</v>
      </c>
      <c r="CH65">
        <v>0</v>
      </c>
    </row>
    <row r="66" spans="12:86" x14ac:dyDescent="0.35">
      <c r="N66">
        <v>1</v>
      </c>
      <c r="AO66">
        <v>1</v>
      </c>
      <c r="AP66">
        <v>-1</v>
      </c>
      <c r="AQ66">
        <v>1</v>
      </c>
      <c r="AR66">
        <v>-1</v>
      </c>
      <c r="BS66">
        <v>-1</v>
      </c>
      <c r="CE66">
        <f t="shared" si="1"/>
        <v>-2.2737367544323206E-13</v>
      </c>
      <c r="CG66" t="s">
        <v>48</v>
      </c>
      <c r="CH66">
        <v>0</v>
      </c>
    </row>
    <row r="67" spans="12:86" x14ac:dyDescent="0.35">
      <c r="O67">
        <v>1</v>
      </c>
      <c r="AS67">
        <v>-1</v>
      </c>
      <c r="AT67">
        <v>1</v>
      </c>
      <c r="AU67">
        <v>-1</v>
      </c>
      <c r="AV67">
        <v>1</v>
      </c>
      <c r="BT67">
        <v>-1</v>
      </c>
      <c r="CE67">
        <f t="shared" si="1"/>
        <v>0</v>
      </c>
      <c r="CG67" t="s">
        <v>48</v>
      </c>
      <c r="CH67">
        <v>0</v>
      </c>
    </row>
    <row r="68" spans="12:86" x14ac:dyDescent="0.35">
      <c r="P68">
        <v>1</v>
      </c>
      <c r="AS68">
        <v>1</v>
      </c>
      <c r="AT68">
        <v>-1</v>
      </c>
      <c r="AW68">
        <v>-1</v>
      </c>
      <c r="AX68">
        <v>1</v>
      </c>
      <c r="BU68">
        <v>-1</v>
      </c>
      <c r="CE68">
        <f t="shared" si="1"/>
        <v>-9.0949470177292824E-13</v>
      </c>
      <c r="CG68" t="s">
        <v>48</v>
      </c>
      <c r="CH68">
        <v>0</v>
      </c>
    </row>
    <row r="69" spans="12:86" x14ac:dyDescent="0.35">
      <c r="Q69">
        <v>1</v>
      </c>
      <c r="AU69">
        <v>1</v>
      </c>
      <c r="AV69">
        <v>-1</v>
      </c>
      <c r="AW69">
        <v>1</v>
      </c>
      <c r="AX69">
        <v>-1</v>
      </c>
      <c r="BV69">
        <v>-1</v>
      </c>
      <c r="CE69">
        <f t="shared" si="1"/>
        <v>4.5474735088646412E-13</v>
      </c>
      <c r="CG69" t="s">
        <v>48</v>
      </c>
      <c r="CH69">
        <v>0</v>
      </c>
    </row>
    <row r="70" spans="12:86" x14ac:dyDescent="0.35">
      <c r="U70">
        <v>1</v>
      </c>
      <c r="AY70">
        <v>-1</v>
      </c>
      <c r="AZ70">
        <v>1</v>
      </c>
      <c r="BA70">
        <v>-1</v>
      </c>
      <c r="BB70">
        <v>1</v>
      </c>
      <c r="BW70">
        <v>-1</v>
      </c>
      <c r="CE70">
        <f t="shared" si="1"/>
        <v>0</v>
      </c>
      <c r="CG70" t="s">
        <v>48</v>
      </c>
      <c r="CH70">
        <v>0</v>
      </c>
    </row>
    <row r="71" spans="12:86" x14ac:dyDescent="0.35">
      <c r="V71">
        <v>1</v>
      </c>
      <c r="AY71">
        <v>1</v>
      </c>
      <c r="AZ71">
        <v>-1</v>
      </c>
      <c r="BC71">
        <v>-1</v>
      </c>
      <c r="BD71">
        <v>1</v>
      </c>
      <c r="BX71">
        <v>-1</v>
      </c>
      <c r="CE71">
        <f t="shared" si="1"/>
        <v>0</v>
      </c>
      <c r="CG71" t="s">
        <v>48</v>
      </c>
      <c r="CH71">
        <v>0</v>
      </c>
    </row>
    <row r="72" spans="12:86" x14ac:dyDescent="0.35">
      <c r="W72">
        <v>1</v>
      </c>
      <c r="BA72">
        <v>1</v>
      </c>
      <c r="BB72">
        <v>-1</v>
      </c>
      <c r="BC72">
        <v>1</v>
      </c>
      <c r="BD72">
        <v>-1</v>
      </c>
      <c r="BY72">
        <v>-1</v>
      </c>
      <c r="CE72">
        <f t="shared" si="1"/>
        <v>0</v>
      </c>
      <c r="CG72" t="s">
        <v>48</v>
      </c>
      <c r="CH72">
        <v>0</v>
      </c>
    </row>
    <row r="73" spans="12:86" x14ac:dyDescent="0.35">
      <c r="X73">
        <v>1</v>
      </c>
      <c r="BE73">
        <v>-1</v>
      </c>
      <c r="BF73">
        <v>1</v>
      </c>
      <c r="BG73">
        <v>-1</v>
      </c>
      <c r="BH73">
        <v>1</v>
      </c>
      <c r="BZ73">
        <v>-1</v>
      </c>
      <c r="CE73">
        <f t="shared" si="1"/>
        <v>0</v>
      </c>
      <c r="CG73" t="s">
        <v>48</v>
      </c>
      <c r="CH73">
        <v>0</v>
      </c>
    </row>
    <row r="74" spans="12:86" x14ac:dyDescent="0.35">
      <c r="Y74">
        <v>1</v>
      </c>
      <c r="BE74">
        <v>1</v>
      </c>
      <c r="BF74">
        <v>-1</v>
      </c>
      <c r="BI74">
        <v>-1</v>
      </c>
      <c r="BJ74">
        <v>1</v>
      </c>
      <c r="CA74">
        <v>-1</v>
      </c>
      <c r="CE74">
        <f t="shared" ref="CE74:CE93" si="2">SUMPRODUCT($C$5:$CB$5,C74:CB74)</f>
        <v>9.0949470177292824E-13</v>
      </c>
      <c r="CG74" t="s">
        <v>48</v>
      </c>
      <c r="CH74">
        <v>0</v>
      </c>
    </row>
    <row r="75" spans="12:86" x14ac:dyDescent="0.35">
      <c r="Z75">
        <v>1</v>
      </c>
      <c r="BG75">
        <v>1</v>
      </c>
      <c r="BH75">
        <v>-1</v>
      </c>
      <c r="BI75">
        <v>1</v>
      </c>
      <c r="BJ75">
        <v>-1</v>
      </c>
      <c r="CB75">
        <v>-1</v>
      </c>
      <c r="CE75">
        <f t="shared" si="2"/>
        <v>0</v>
      </c>
      <c r="CG75" t="s">
        <v>48</v>
      </c>
      <c r="CH75">
        <v>0</v>
      </c>
    </row>
    <row r="76" spans="12:86" x14ac:dyDescent="0.35">
      <c r="L76">
        <v>0.85</v>
      </c>
      <c r="BK76">
        <v>-1</v>
      </c>
      <c r="CE76">
        <f t="shared" si="2"/>
        <v>0</v>
      </c>
      <c r="CG76" t="s">
        <v>31</v>
      </c>
      <c r="CH76">
        <v>0</v>
      </c>
    </row>
    <row r="77" spans="12:86" x14ac:dyDescent="0.35">
      <c r="M77">
        <v>0.8</v>
      </c>
      <c r="BL77">
        <v>-1</v>
      </c>
      <c r="CE77">
        <f>SUMPRODUCT($C$5:$CB$5,C77:CB77)</f>
        <v>4.5474735088646412E-13</v>
      </c>
      <c r="CG77" t="s">
        <v>31</v>
      </c>
      <c r="CH77">
        <v>0</v>
      </c>
    </row>
    <row r="78" spans="12:86" x14ac:dyDescent="0.35">
      <c r="N78">
        <v>0.88</v>
      </c>
      <c r="BM78">
        <v>-1</v>
      </c>
      <c r="CE78">
        <f t="shared" si="2"/>
        <v>2.2737367544323206E-13</v>
      </c>
      <c r="CG78" t="s">
        <v>31</v>
      </c>
      <c r="CH78">
        <v>0</v>
      </c>
    </row>
    <row r="79" spans="12:86" x14ac:dyDescent="0.35">
      <c r="L79">
        <v>0.15</v>
      </c>
      <c r="O79">
        <v>0.22</v>
      </c>
      <c r="R79">
        <v>1</v>
      </c>
      <c r="BN79">
        <v>-1</v>
      </c>
      <c r="CE79">
        <f t="shared" si="2"/>
        <v>-4.5474735088646412E-13</v>
      </c>
      <c r="CG79" t="s">
        <v>31</v>
      </c>
      <c r="CH79">
        <v>0</v>
      </c>
    </row>
    <row r="80" spans="12:86" x14ac:dyDescent="0.35">
      <c r="M80">
        <v>0.2</v>
      </c>
      <c r="P80">
        <v>0.25</v>
      </c>
      <c r="S80">
        <v>1</v>
      </c>
      <c r="BO80">
        <v>-1</v>
      </c>
      <c r="CE80">
        <f t="shared" si="2"/>
        <v>0</v>
      </c>
      <c r="CG80" t="s">
        <v>31</v>
      </c>
      <c r="CH80">
        <v>0</v>
      </c>
    </row>
    <row r="81" spans="6:86" x14ac:dyDescent="0.35">
      <c r="N81">
        <v>0.12</v>
      </c>
      <c r="Q81">
        <v>0.28000000000000003</v>
      </c>
      <c r="T81">
        <v>1</v>
      </c>
      <c r="BP81">
        <v>-1</v>
      </c>
      <c r="CE81">
        <f t="shared" si="2"/>
        <v>9.0949470177292824E-13</v>
      </c>
      <c r="CG81" t="s">
        <v>31</v>
      </c>
      <c r="CH81">
        <v>0</v>
      </c>
    </row>
    <row r="82" spans="6:86" x14ac:dyDescent="0.35">
      <c r="U82">
        <v>0.6</v>
      </c>
      <c r="BO82" t="s">
        <v>89</v>
      </c>
      <c r="BQ82">
        <v>-1</v>
      </c>
      <c r="CE82">
        <f t="shared" si="2"/>
        <v>-1.1368683772161603E-13</v>
      </c>
      <c r="CG82" t="s">
        <v>31</v>
      </c>
      <c r="CH82">
        <v>0</v>
      </c>
    </row>
    <row r="83" spans="6:86" x14ac:dyDescent="0.35">
      <c r="V83">
        <v>0.66</v>
      </c>
      <c r="BR83">
        <v>-1</v>
      </c>
      <c r="CE83">
        <f t="shared" si="2"/>
        <v>0</v>
      </c>
      <c r="CG83" t="s">
        <v>31</v>
      </c>
      <c r="CH83">
        <v>0</v>
      </c>
    </row>
    <row r="84" spans="6:86" x14ac:dyDescent="0.35">
      <c r="W84">
        <v>0.57999999999999996</v>
      </c>
      <c r="BS84">
        <v>-1</v>
      </c>
      <c r="CE84">
        <f t="shared" si="2"/>
        <v>0</v>
      </c>
      <c r="CG84" t="s">
        <v>31</v>
      </c>
      <c r="CH84">
        <v>0</v>
      </c>
    </row>
    <row r="85" spans="6:86" x14ac:dyDescent="0.35">
      <c r="X85">
        <v>0.7</v>
      </c>
      <c r="BT85">
        <v>-1</v>
      </c>
      <c r="CE85">
        <f t="shared" si="2"/>
        <v>0</v>
      </c>
      <c r="CG85" t="s">
        <v>31</v>
      </c>
      <c r="CH85">
        <v>0</v>
      </c>
    </row>
    <row r="86" spans="6:86" x14ac:dyDescent="0.35">
      <c r="Y86">
        <v>0.72</v>
      </c>
      <c r="BU86">
        <v>-1</v>
      </c>
      <c r="CE86">
        <f t="shared" si="2"/>
        <v>0</v>
      </c>
      <c r="CG86" t="s">
        <v>31</v>
      </c>
      <c r="CH86">
        <v>0</v>
      </c>
    </row>
    <row r="87" spans="6:86" x14ac:dyDescent="0.35">
      <c r="Z87">
        <v>0.64</v>
      </c>
      <c r="BV87">
        <v>-1</v>
      </c>
      <c r="CE87">
        <f t="shared" si="2"/>
        <v>0</v>
      </c>
      <c r="CG87" t="s">
        <v>31</v>
      </c>
      <c r="CH87">
        <v>0</v>
      </c>
    </row>
    <row r="88" spans="6:86" x14ac:dyDescent="0.35">
      <c r="R88">
        <v>-1</v>
      </c>
      <c r="U88">
        <v>0.4</v>
      </c>
      <c r="X88">
        <v>0.3</v>
      </c>
      <c r="CE88">
        <f t="shared" si="2"/>
        <v>2.2737367544323206E-13</v>
      </c>
      <c r="CG88" t="s">
        <v>31</v>
      </c>
      <c r="CH88">
        <v>0</v>
      </c>
    </row>
    <row r="89" spans="6:86" x14ac:dyDescent="0.35">
      <c r="S89">
        <v>-1</v>
      </c>
      <c r="V89">
        <v>0.34</v>
      </c>
      <c r="Y89">
        <v>0.28000000000000003</v>
      </c>
      <c r="CE89">
        <f t="shared" si="2"/>
        <v>2.2737367544323206E-13</v>
      </c>
      <c r="CG89" t="s">
        <v>31</v>
      </c>
      <c r="CH89">
        <v>0</v>
      </c>
    </row>
    <row r="90" spans="6:86" x14ac:dyDescent="0.35">
      <c r="T90">
        <v>-1</v>
      </c>
      <c r="W90">
        <v>0.42</v>
      </c>
      <c r="Z90">
        <v>0.36</v>
      </c>
      <c r="CE90">
        <f t="shared" si="2"/>
        <v>0</v>
      </c>
      <c r="CG90" t="s">
        <v>31</v>
      </c>
      <c r="CH90">
        <v>0</v>
      </c>
    </row>
    <row r="91" spans="6:86" x14ac:dyDescent="0.35">
      <c r="F91">
        <v>-1</v>
      </c>
      <c r="O91">
        <v>0.78</v>
      </c>
      <c r="CE91">
        <f t="shared" si="2"/>
        <v>4.5474735088646412E-13</v>
      </c>
      <c r="CG91" t="s">
        <v>31</v>
      </c>
      <c r="CH91">
        <v>0</v>
      </c>
    </row>
    <row r="92" spans="6:86" x14ac:dyDescent="0.35">
      <c r="G92">
        <v>-1</v>
      </c>
      <c r="P92">
        <v>0.75</v>
      </c>
      <c r="CE92">
        <f t="shared" si="2"/>
        <v>0</v>
      </c>
      <c r="CG92" t="s">
        <v>31</v>
      </c>
      <c r="CH92">
        <v>0</v>
      </c>
    </row>
    <row r="93" spans="6:86" x14ac:dyDescent="0.35">
      <c r="H93">
        <v>-1</v>
      </c>
      <c r="Q93">
        <v>0.72</v>
      </c>
      <c r="CE93">
        <f t="shared" si="2"/>
        <v>0</v>
      </c>
      <c r="CG93" t="s">
        <v>31</v>
      </c>
      <c r="CH9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doubled tariffs (A-B)</vt:lpstr>
      <vt:lpstr>final 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Barzaiq</dc:creator>
  <cp:lastModifiedBy>Nada Barzaiq</cp:lastModifiedBy>
  <dcterms:created xsi:type="dcterms:W3CDTF">2025-04-25T15:18:55Z</dcterms:created>
  <dcterms:modified xsi:type="dcterms:W3CDTF">2025-05-04T10:10:35Z</dcterms:modified>
</cp:coreProperties>
</file>