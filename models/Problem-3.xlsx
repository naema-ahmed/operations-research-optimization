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0f0393286af801/Documents/"/>
    </mc:Choice>
  </mc:AlternateContent>
  <xr:revisionPtr revIDLastSave="8947" documentId="8_{7AA77FCA-FEF6-44C1-86CA-49F46C412501}" xr6:coauthVersionLast="47" xr6:coauthVersionMax="47" xr10:uidLastSave="{BEB9FF59-110F-4899-9CA8-2327FEB5687C}"/>
  <bookViews>
    <workbookView xWindow="-110" yWindow="-110" windowWidth="19420" windowHeight="11500" firstSheet="3" activeTab="5" xr2:uid="{8A75E8D0-1111-47F0-BE09-021711C8CF4B}"/>
  </bookViews>
  <sheets>
    <sheet name="Sheet1 a" sheetId="1" r:id="rId1"/>
    <sheet name="sheet1 b for water" sheetId="8" r:id="rId2"/>
    <sheet name="Sheet1 b for fuel" sheetId="11" r:id="rId3"/>
    <sheet name="Sheet1 b for electricity" sheetId="12" r:id="rId4"/>
    <sheet name="sheet 1 b for pollutant" sheetId="15" r:id="rId5"/>
    <sheet name="sheet 1 b for water and pol" sheetId="16" r:id="rId6"/>
  </sheets>
  <definedNames>
    <definedName name="solver_adj" localSheetId="4" hidden="1">'sheet 1 b for pollutant'!$C$4:$S$4</definedName>
    <definedName name="solver_adj" localSheetId="5" hidden="1">'sheet 1 b for water and pol'!$C$4:$S$4</definedName>
    <definedName name="solver_adj" localSheetId="0" hidden="1">'Sheet1 a'!$C$3:$S$3</definedName>
    <definedName name="solver_adj" localSheetId="3" hidden="1">'Sheet1 b for electricity'!$C$4:$S$4</definedName>
    <definedName name="solver_adj" localSheetId="2" hidden="1">'Sheet1 b for fuel'!$C$4:$S$4</definedName>
    <definedName name="solver_adj" localSheetId="1" hidden="1">'sheet1 b for water'!$C$4:$S$4</definedName>
    <definedName name="solver_cvg" localSheetId="4" hidden="1">0.0001</definedName>
    <definedName name="solver_cvg" localSheetId="5" hidden="1">0.0001</definedName>
    <definedName name="solver_cvg" localSheetId="0" hidden="1">0.0001</definedName>
    <definedName name="solver_cvg" localSheetId="3" hidden="1">0.0001</definedName>
    <definedName name="solver_cvg" localSheetId="2" hidden="1">0.0001</definedName>
    <definedName name="solver_cvg" localSheetId="1" hidden="1">0.0001</definedName>
    <definedName name="solver_drv" localSheetId="4" hidden="1">1</definedName>
    <definedName name="solver_drv" localSheetId="5" hidden="1">1</definedName>
    <definedName name="solver_drv" localSheetId="0" hidden="1">1</definedName>
    <definedName name="solver_drv" localSheetId="3" hidden="1">1</definedName>
    <definedName name="solver_drv" localSheetId="2" hidden="1">1</definedName>
    <definedName name="solver_drv" localSheetId="1" hidden="1">1</definedName>
    <definedName name="solver_eng" localSheetId="4" hidden="1">2</definedName>
    <definedName name="solver_eng" localSheetId="5" hidden="1">2</definedName>
    <definedName name="solver_eng" localSheetId="0" hidden="1">2</definedName>
    <definedName name="solver_eng" localSheetId="3" hidden="1">2</definedName>
    <definedName name="solver_eng" localSheetId="2" hidden="1">2</definedName>
    <definedName name="solver_eng" localSheetId="1" hidden="1">2</definedName>
    <definedName name="solver_est" localSheetId="4" hidden="1">1</definedName>
    <definedName name="solver_est" localSheetId="5" hidden="1">1</definedName>
    <definedName name="solver_est" localSheetId="0" hidden="1">1</definedName>
    <definedName name="solver_est" localSheetId="3" hidden="1">1</definedName>
    <definedName name="solver_est" localSheetId="2" hidden="1">1</definedName>
    <definedName name="solver_est" localSheetId="1" hidden="1">1</definedName>
    <definedName name="solver_itr" localSheetId="4" hidden="1">2147483647</definedName>
    <definedName name="solver_itr" localSheetId="5" hidden="1">2147483647</definedName>
    <definedName name="solver_itr" localSheetId="0" hidden="1">2147483647</definedName>
    <definedName name="solver_itr" localSheetId="3" hidden="1">2147483647</definedName>
    <definedName name="solver_itr" localSheetId="2" hidden="1">2147483647</definedName>
    <definedName name="solver_itr" localSheetId="1" hidden="1">2147483647</definedName>
    <definedName name="solver_lhs1" localSheetId="4" hidden="1">'sheet 1 b for pollutant'!$T$6:$T$11</definedName>
    <definedName name="solver_lhs1" localSheetId="5" hidden="1">'sheet 1 b for water and pol'!$T$13:$T$14</definedName>
    <definedName name="solver_lhs1" localSheetId="0" hidden="1">'Sheet1 a'!$T$11:$T$12</definedName>
    <definedName name="solver_lhs1" localSheetId="3" hidden="1">'Sheet1 b for electricity'!$T$12:$T$13</definedName>
    <definedName name="solver_lhs1" localSheetId="2" hidden="1">'Sheet1 b for fuel'!$T$12:$T$13</definedName>
    <definedName name="solver_lhs1" localSheetId="1" hidden="1">'sheet1 b for water'!$T$12:$T$13</definedName>
    <definedName name="solver_lhs2" localSheetId="4" hidden="1">'sheet 1 b for pollutant'!$T$6:$T$11</definedName>
    <definedName name="solver_lhs2" localSheetId="5" hidden="1">'sheet 1 b for water and pol'!$T$18:$T$25</definedName>
    <definedName name="solver_lhs2" localSheetId="0" hidden="1">'Sheet1 a'!$T$13:$T$15</definedName>
    <definedName name="solver_lhs2" localSheetId="3" hidden="1">'Sheet1 b for electricity'!$T$14:$T$16</definedName>
    <definedName name="solver_lhs2" localSheetId="2" hidden="1">'Sheet1 b for fuel'!$T$14:$T$16</definedName>
    <definedName name="solver_lhs2" localSheetId="1" hidden="1">'sheet1 b for water'!$T$14:$T$16</definedName>
    <definedName name="solver_lhs3" localSheetId="4" hidden="1">'sheet 1 b for pollutant'!$T$25:$T$31</definedName>
    <definedName name="solver_lhs3" localSheetId="5" hidden="1">'sheet 1 b for water and pol'!$T$15:$T$17</definedName>
    <definedName name="solver_lhs3" localSheetId="0" hidden="1">'Sheet1 a'!$T$16:$T$23</definedName>
    <definedName name="solver_lhs3" localSheetId="3" hidden="1">'Sheet1 b for electricity'!$T$17:$T$24</definedName>
    <definedName name="solver_lhs3" localSheetId="2" hidden="1">'Sheet1 b for fuel'!$T$17:$T$24</definedName>
    <definedName name="solver_lhs3" localSheetId="1" hidden="1">'sheet1 b for water'!$T$17:$T$24</definedName>
    <definedName name="solver_lhs4" localSheetId="4" hidden="1">'sheet 1 b for pollutant'!$T$25</definedName>
    <definedName name="solver_lhs4" localSheetId="5" hidden="1">'sheet 1 b for water and pol'!$T$26</definedName>
    <definedName name="solver_lhs4" localSheetId="0" hidden="1">'Sheet1 a'!$T$5:$T$10</definedName>
    <definedName name="solver_lhs4" localSheetId="3" hidden="1">'Sheet1 b for electricity'!$T$25</definedName>
    <definedName name="solver_lhs4" localSheetId="2" hidden="1">'Sheet1 b for fuel'!$T$25</definedName>
    <definedName name="solver_lhs4" localSheetId="1" hidden="1">'sheet1 b for water'!$T$25</definedName>
    <definedName name="solver_lhs5" localSheetId="4" hidden="1">'sheet 1 b for pollutant'!$T$14:$T$16</definedName>
    <definedName name="solver_lhs5" localSheetId="5" hidden="1">'sheet 1 b for water and pol'!$T$26:$T$32</definedName>
    <definedName name="solver_lhs5" localSheetId="0" hidden="1">'Sheet1 a'!$T$5:$T$10</definedName>
    <definedName name="solver_lhs5" localSheetId="3" hidden="1">'Sheet1 b for electricity'!$T$6:$T$11</definedName>
    <definedName name="solver_lhs5" localSheetId="2" hidden="1">'Sheet1 b for fuel'!$T$6:$T$11</definedName>
    <definedName name="solver_lhs5" localSheetId="1" hidden="1">'sheet1 b for water'!$T$25:$T$32</definedName>
    <definedName name="solver_lhs6" localSheetId="4" hidden="1">'sheet 1 b for pollutant'!$T$12:$T$13</definedName>
    <definedName name="solver_lhs6" localSheetId="5" hidden="1">'sheet 1 b for water and pol'!$T$27</definedName>
    <definedName name="solver_lhs6" localSheetId="0" hidden="1">'Sheet1 a'!$T$5:$T$10</definedName>
    <definedName name="solver_lhs6" localSheetId="3" hidden="1">'Sheet1 b for electricity'!$T$6:$T$11</definedName>
    <definedName name="solver_lhs6" localSheetId="2" hidden="1">'Sheet1 b for fuel'!$T$6:$T$11</definedName>
    <definedName name="solver_lhs6" localSheetId="1" hidden="1">'sheet1 b for water'!$T$6:$T$11</definedName>
    <definedName name="solver_lhs7" localSheetId="4" hidden="1">'sheet 1 b for pollutant'!$T$17:$T$24</definedName>
    <definedName name="solver_lhs7" localSheetId="5" hidden="1">'sheet 1 b for water and pol'!$T$7:$T$12</definedName>
    <definedName name="solver_lhs7" localSheetId="0" hidden="1">'Sheet1 a'!$T$5:$T$10</definedName>
    <definedName name="solver_lhs8" localSheetId="5" hidden="1">'sheet 1 b for water and pol'!$T$7:$T$12</definedName>
    <definedName name="solver_mip" localSheetId="4" hidden="1">2147483647</definedName>
    <definedName name="solver_mip" localSheetId="5" hidden="1">2147483647</definedName>
    <definedName name="solver_mip" localSheetId="0" hidden="1">2147483647</definedName>
    <definedName name="solver_mip" localSheetId="3" hidden="1">2147483647</definedName>
    <definedName name="solver_mip" localSheetId="2" hidden="1">2147483647</definedName>
    <definedName name="solver_mip" localSheetId="1" hidden="1">2147483647</definedName>
    <definedName name="solver_mni" localSheetId="4" hidden="1">30</definedName>
    <definedName name="solver_mni" localSheetId="5" hidden="1">30</definedName>
    <definedName name="solver_mni" localSheetId="0" hidden="1">30</definedName>
    <definedName name="solver_mni" localSheetId="3" hidden="1">30</definedName>
    <definedName name="solver_mni" localSheetId="2" hidden="1">30</definedName>
    <definedName name="solver_mni" localSheetId="1" hidden="1">30</definedName>
    <definedName name="solver_mrt" localSheetId="4" hidden="1">0.075</definedName>
    <definedName name="solver_mrt" localSheetId="5" hidden="1">0.075</definedName>
    <definedName name="solver_mrt" localSheetId="0" hidden="1">0.075</definedName>
    <definedName name="solver_mrt" localSheetId="3" hidden="1">0.075</definedName>
    <definedName name="solver_mrt" localSheetId="2" hidden="1">0.075</definedName>
    <definedName name="solver_mrt" localSheetId="1" hidden="1">0.075</definedName>
    <definedName name="solver_msl" localSheetId="4" hidden="1">2</definedName>
    <definedName name="solver_msl" localSheetId="5" hidden="1">2</definedName>
    <definedName name="solver_msl" localSheetId="0" hidden="1">2</definedName>
    <definedName name="solver_msl" localSheetId="3" hidden="1">2</definedName>
    <definedName name="solver_msl" localSheetId="2" hidden="1">2</definedName>
    <definedName name="solver_msl" localSheetId="1" hidden="1">2</definedName>
    <definedName name="solver_neg" localSheetId="4" hidden="1">1</definedName>
    <definedName name="solver_neg" localSheetId="5" hidden="1">1</definedName>
    <definedName name="solver_neg" localSheetId="0" hidden="1">1</definedName>
    <definedName name="solver_neg" localSheetId="3" hidden="1">1</definedName>
    <definedName name="solver_neg" localSheetId="2" hidden="1">1</definedName>
    <definedName name="solver_neg" localSheetId="1" hidden="1">1</definedName>
    <definedName name="solver_nod" localSheetId="4" hidden="1">2147483647</definedName>
    <definedName name="solver_nod" localSheetId="5" hidden="1">2147483647</definedName>
    <definedName name="solver_nod" localSheetId="0" hidden="1">2147483647</definedName>
    <definedName name="solver_nod" localSheetId="3" hidden="1">2147483647</definedName>
    <definedName name="solver_nod" localSheetId="2" hidden="1">2147483647</definedName>
    <definedName name="solver_nod" localSheetId="1" hidden="1">2147483647</definedName>
    <definedName name="solver_num" localSheetId="4" hidden="1">7</definedName>
    <definedName name="solver_num" localSheetId="5" hidden="1">8</definedName>
    <definedName name="solver_num" localSheetId="0" hidden="1">4</definedName>
    <definedName name="solver_num" localSheetId="3" hidden="1">5</definedName>
    <definedName name="solver_num" localSheetId="2" hidden="1">5</definedName>
    <definedName name="solver_num" localSheetId="1" hidden="1">6</definedName>
    <definedName name="solver_nwt" localSheetId="4" hidden="1">1</definedName>
    <definedName name="solver_nwt" localSheetId="5" hidden="1">1</definedName>
    <definedName name="solver_nwt" localSheetId="0" hidden="1">1</definedName>
    <definedName name="solver_nwt" localSheetId="3" hidden="1">1</definedName>
    <definedName name="solver_nwt" localSheetId="2" hidden="1">1</definedName>
    <definedName name="solver_nwt" localSheetId="1" hidden="1">1</definedName>
    <definedName name="solver_opt" localSheetId="4" hidden="1">'sheet 1 b for pollutant'!$V$4</definedName>
    <definedName name="solver_opt" localSheetId="5" hidden="1">'sheet 1 b for water and pol'!$V$4</definedName>
    <definedName name="solver_opt" localSheetId="0" hidden="1">'Sheet1 a'!$V$3</definedName>
    <definedName name="solver_opt" localSheetId="3" hidden="1">'Sheet1 b for electricity'!$V$4</definedName>
    <definedName name="solver_opt" localSheetId="2" hidden="1">'Sheet1 b for fuel'!$V$4</definedName>
    <definedName name="solver_opt" localSheetId="1" hidden="1">'sheet1 b for water'!$T$11</definedName>
    <definedName name="solver_pre" localSheetId="4" hidden="1">0.000001</definedName>
    <definedName name="solver_pre" localSheetId="5" hidden="1">0.000001</definedName>
    <definedName name="solver_pre" localSheetId="0" hidden="1">0.000001</definedName>
    <definedName name="solver_pre" localSheetId="3" hidden="1">0.000001</definedName>
    <definedName name="solver_pre" localSheetId="2" hidden="1">0.000001</definedName>
    <definedName name="solver_pre" localSheetId="1" hidden="1">0.000001</definedName>
    <definedName name="solver_rbv" localSheetId="4" hidden="1">1</definedName>
    <definedName name="solver_rbv" localSheetId="5" hidden="1">1</definedName>
    <definedName name="solver_rbv" localSheetId="0" hidden="1">1</definedName>
    <definedName name="solver_rbv" localSheetId="3" hidden="1">1</definedName>
    <definedName name="solver_rbv" localSheetId="2" hidden="1">1</definedName>
    <definedName name="solver_rbv" localSheetId="1" hidden="1">1</definedName>
    <definedName name="solver_rel1" localSheetId="4" hidden="1">1</definedName>
    <definedName name="solver_rel1" localSheetId="5" hidden="1">3</definedName>
    <definedName name="solver_rel1" localSheetId="0" hidden="1">3</definedName>
    <definedName name="solver_rel1" localSheetId="3" hidden="1">3</definedName>
    <definedName name="solver_rel1" localSheetId="2" hidden="1">3</definedName>
    <definedName name="solver_rel1" localSheetId="1" hidden="1">3</definedName>
    <definedName name="solver_rel2" localSheetId="4" hidden="1">1</definedName>
    <definedName name="solver_rel2" localSheetId="5" hidden="1">2</definedName>
    <definedName name="solver_rel2" localSheetId="0" hidden="1">1</definedName>
    <definedName name="solver_rel2" localSheetId="3" hidden="1">1</definedName>
    <definedName name="solver_rel2" localSheetId="2" hidden="1">1</definedName>
    <definedName name="solver_rel2" localSheetId="1" hidden="1">1</definedName>
    <definedName name="solver_rel3" localSheetId="4" hidden="1">1</definedName>
    <definedName name="solver_rel3" localSheetId="5" hidden="1">1</definedName>
    <definedName name="solver_rel3" localSheetId="0" hidden="1">2</definedName>
    <definedName name="solver_rel3" localSheetId="3" hidden="1">2</definedName>
    <definedName name="solver_rel3" localSheetId="2" hidden="1">2</definedName>
    <definedName name="solver_rel3" localSheetId="1" hidden="1">2</definedName>
    <definedName name="solver_rel4" localSheetId="4" hidden="1">2</definedName>
    <definedName name="solver_rel4" localSheetId="5" hidden="1">2</definedName>
    <definedName name="solver_rel4" localSheetId="0" hidden="1">1</definedName>
    <definedName name="solver_rel4" localSheetId="3" hidden="1">2</definedName>
    <definedName name="solver_rel4" localSheetId="2" hidden="1">2</definedName>
    <definedName name="solver_rel4" localSheetId="1" hidden="1">2</definedName>
    <definedName name="solver_rel5" localSheetId="4" hidden="1">1</definedName>
    <definedName name="solver_rel5" localSheetId="5" hidden="1">1</definedName>
    <definedName name="solver_rel5" localSheetId="0" hidden="1">1</definedName>
    <definedName name="solver_rel5" localSheetId="3" hidden="1">1</definedName>
    <definedName name="solver_rel5" localSheetId="2" hidden="1">1</definedName>
    <definedName name="solver_rel5" localSheetId="1" hidden="1">1</definedName>
    <definedName name="solver_rel6" localSheetId="4" hidden="1">3</definedName>
    <definedName name="solver_rel6" localSheetId="5" hidden="1">2</definedName>
    <definedName name="solver_rel6" localSheetId="0" hidden="1">1</definedName>
    <definedName name="solver_rel6" localSheetId="3" hidden="1">1</definedName>
    <definedName name="solver_rel6" localSheetId="2" hidden="1">1</definedName>
    <definedName name="solver_rel6" localSheetId="1" hidden="1">1</definedName>
    <definedName name="solver_rel7" localSheetId="4" hidden="1">2</definedName>
    <definedName name="solver_rel7" localSheetId="5" hidden="1">1</definedName>
    <definedName name="solver_rel7" localSheetId="0" hidden="1">1</definedName>
    <definedName name="solver_rel8" localSheetId="5" hidden="1">1</definedName>
    <definedName name="solver_rhs1" localSheetId="4" hidden="1">'sheet 1 b for pollutant'!$V$6:$V$11</definedName>
    <definedName name="solver_rhs1" localSheetId="5" hidden="1">'sheet 1 b for water and pol'!$V$13:$V$14</definedName>
    <definedName name="solver_rhs1" localSheetId="0" hidden="1">'Sheet1 a'!$V$11:$V$12</definedName>
    <definedName name="solver_rhs1" localSheetId="3" hidden="1">'Sheet1 b for electricity'!$V$12:$V$13</definedName>
    <definedName name="solver_rhs1" localSheetId="2" hidden="1">'Sheet1 b for fuel'!$V$12:$V$13</definedName>
    <definedName name="solver_rhs1" localSheetId="1" hidden="1">'sheet1 b for water'!$V$12:$V$13</definedName>
    <definedName name="solver_rhs2" localSheetId="4" hidden="1">'sheet 1 b for pollutant'!$V$6:$V$11</definedName>
    <definedName name="solver_rhs2" localSheetId="5" hidden="1">'sheet 1 b for water and pol'!$V$18:$V$25</definedName>
    <definedName name="solver_rhs2" localSheetId="0" hidden="1">'Sheet1 a'!$V$13:$V$15</definedName>
    <definedName name="solver_rhs2" localSheetId="3" hidden="1">'Sheet1 b for electricity'!$V$14:$V$16</definedName>
    <definedName name="solver_rhs2" localSheetId="2" hidden="1">'Sheet1 b for fuel'!$V$14:$V$16</definedName>
    <definedName name="solver_rhs2" localSheetId="1" hidden="1">'sheet1 b for water'!$V$14:$V$16</definedName>
    <definedName name="solver_rhs3" localSheetId="4" hidden="1">'sheet 1 b for pollutant'!$V$25:$V$31</definedName>
    <definedName name="solver_rhs3" localSheetId="5" hidden="1">'sheet 1 b for water and pol'!$V$15:$V$17</definedName>
    <definedName name="solver_rhs3" localSheetId="0" hidden="1">'Sheet1 a'!$V$16:$V$23</definedName>
    <definedName name="solver_rhs3" localSheetId="3" hidden="1">'Sheet1 b for electricity'!$V$17:$V$24</definedName>
    <definedName name="solver_rhs3" localSheetId="2" hidden="1">'Sheet1 b for fuel'!$V$17:$V$24</definedName>
    <definedName name="solver_rhs3" localSheetId="1" hidden="1">'sheet1 b for water'!$V$17:$V$24</definedName>
    <definedName name="solver_rhs4" localSheetId="4" hidden="1">'sheet 1 b for pollutant'!$V$25</definedName>
    <definedName name="solver_rhs4" localSheetId="5" hidden="1">'sheet 1 b for water and pol'!$V$26</definedName>
    <definedName name="solver_rhs4" localSheetId="0" hidden="1">'Sheet1 a'!$V$5:$V$10</definedName>
    <definedName name="solver_rhs4" localSheetId="3" hidden="1">'Sheet1 b for electricity'!$V$25</definedName>
    <definedName name="solver_rhs4" localSheetId="2" hidden="1">'Sheet1 b for fuel'!$V$25</definedName>
    <definedName name="solver_rhs4" localSheetId="1" hidden="1">'sheet1 b for water'!$V$25</definedName>
    <definedName name="solver_rhs5" localSheetId="4" hidden="1">'sheet 1 b for pollutant'!$V$14:$V$16</definedName>
    <definedName name="solver_rhs5" localSheetId="5" hidden="1">'sheet 1 b for water and pol'!$V$26:$V$32</definedName>
    <definedName name="solver_rhs5" localSheetId="0" hidden="1">'Sheet1 a'!$V$5:$V$10</definedName>
    <definedName name="solver_rhs5" localSheetId="3" hidden="1">'Sheet1 b for electricity'!$V$6:$V$11</definedName>
    <definedName name="solver_rhs5" localSheetId="2" hidden="1">'Sheet1 b for fuel'!$V$6:$V$11</definedName>
    <definedName name="solver_rhs5" localSheetId="1" hidden="1">'sheet1 b for water'!$V$25:$V$32</definedName>
    <definedName name="solver_rhs6" localSheetId="4" hidden="1">'sheet 1 b for pollutant'!$V$12:$V$13</definedName>
    <definedName name="solver_rhs6" localSheetId="5" hidden="1">'sheet 1 b for water and pol'!$V$27</definedName>
    <definedName name="solver_rhs6" localSheetId="0" hidden="1">'Sheet1 a'!$V$5:$V$10</definedName>
    <definedName name="solver_rhs6" localSheetId="3" hidden="1">'Sheet1 b for electricity'!$V$6:$V$11</definedName>
    <definedName name="solver_rhs6" localSheetId="2" hidden="1">'Sheet1 b for fuel'!$V$6:$V$11</definedName>
    <definedName name="solver_rhs6" localSheetId="1" hidden="1">'sheet1 b for water'!$V$6:$V$11</definedName>
    <definedName name="solver_rhs7" localSheetId="4" hidden="1">'sheet 1 b for pollutant'!$V$17:$V$24</definedName>
    <definedName name="solver_rhs7" localSheetId="5" hidden="1">'sheet 1 b for water and pol'!$V$7:$V$12</definedName>
    <definedName name="solver_rhs7" localSheetId="0" hidden="1">'Sheet1 a'!$V$5:$V$10</definedName>
    <definedName name="solver_rhs8" localSheetId="5" hidden="1">'sheet 1 b for water and pol'!$V$7:$V$12</definedName>
    <definedName name="solver_rlx" localSheetId="4" hidden="1">2</definedName>
    <definedName name="solver_rlx" localSheetId="5" hidden="1">2</definedName>
    <definedName name="solver_rlx" localSheetId="0" hidden="1">2</definedName>
    <definedName name="solver_rlx" localSheetId="3" hidden="1">2</definedName>
    <definedName name="solver_rlx" localSheetId="2" hidden="1">2</definedName>
    <definedName name="solver_rlx" localSheetId="1" hidden="1">2</definedName>
    <definedName name="solver_rsd" localSheetId="4" hidden="1">0</definedName>
    <definedName name="solver_rsd" localSheetId="5" hidden="1">0</definedName>
    <definedName name="solver_rsd" localSheetId="0" hidden="1">0</definedName>
    <definedName name="solver_rsd" localSheetId="3" hidden="1">0</definedName>
    <definedName name="solver_rsd" localSheetId="2" hidden="1">0</definedName>
    <definedName name="solver_rsd" localSheetId="1" hidden="1">0</definedName>
    <definedName name="solver_scl" localSheetId="4" hidden="1">1</definedName>
    <definedName name="solver_scl" localSheetId="5" hidden="1">1</definedName>
    <definedName name="solver_scl" localSheetId="0" hidden="1">1</definedName>
    <definedName name="solver_scl" localSheetId="3" hidden="1">1</definedName>
    <definedName name="solver_scl" localSheetId="2" hidden="1">1</definedName>
    <definedName name="solver_scl" localSheetId="1" hidden="1">1</definedName>
    <definedName name="solver_sho" localSheetId="4" hidden="1">2</definedName>
    <definedName name="solver_sho" localSheetId="5" hidden="1">2</definedName>
    <definedName name="solver_sho" localSheetId="0" hidden="1">2</definedName>
    <definedName name="solver_sho" localSheetId="3" hidden="1">2</definedName>
    <definedName name="solver_sho" localSheetId="2" hidden="1">2</definedName>
    <definedName name="solver_sho" localSheetId="1" hidden="1">2</definedName>
    <definedName name="solver_ssz" localSheetId="4" hidden="1">100</definedName>
    <definedName name="solver_ssz" localSheetId="5" hidden="1">100</definedName>
    <definedName name="solver_ssz" localSheetId="0" hidden="1">100</definedName>
    <definedName name="solver_ssz" localSheetId="3" hidden="1">100</definedName>
    <definedName name="solver_ssz" localSheetId="2" hidden="1">100</definedName>
    <definedName name="solver_ssz" localSheetId="1" hidden="1">100</definedName>
    <definedName name="solver_tim" localSheetId="4" hidden="1">2147483647</definedName>
    <definedName name="solver_tim" localSheetId="5" hidden="1">2147483647</definedName>
    <definedName name="solver_tim" localSheetId="0" hidden="1">2147483647</definedName>
    <definedName name="solver_tim" localSheetId="3" hidden="1">2147483647</definedName>
    <definedName name="solver_tim" localSheetId="2" hidden="1">2147483647</definedName>
    <definedName name="solver_tim" localSheetId="1" hidden="1">2147483647</definedName>
    <definedName name="solver_tol" localSheetId="4" hidden="1">0.01</definedName>
    <definedName name="solver_tol" localSheetId="5" hidden="1">0.01</definedName>
    <definedName name="solver_tol" localSheetId="0" hidden="1">0.01</definedName>
    <definedName name="solver_tol" localSheetId="3" hidden="1">0.01</definedName>
    <definedName name="solver_tol" localSheetId="2" hidden="1">0.01</definedName>
    <definedName name="solver_tol" localSheetId="1" hidden="1">0.01</definedName>
    <definedName name="solver_typ" localSheetId="4" hidden="1">2</definedName>
    <definedName name="solver_typ" localSheetId="5" hidden="1">2</definedName>
    <definedName name="solver_typ" localSheetId="0" hidden="1">2</definedName>
    <definedName name="solver_typ" localSheetId="3" hidden="1">2</definedName>
    <definedName name="solver_typ" localSheetId="2" hidden="1">2</definedName>
    <definedName name="solver_typ" localSheetId="1" hidden="1">2</definedName>
    <definedName name="solver_val" localSheetId="4" hidden="1">0</definedName>
    <definedName name="solver_val" localSheetId="5" hidden="1">0</definedName>
    <definedName name="solver_val" localSheetId="0" hidden="1">0</definedName>
    <definedName name="solver_val" localSheetId="3" hidden="1">0</definedName>
    <definedName name="solver_val" localSheetId="2" hidden="1">0</definedName>
    <definedName name="solver_val" localSheetId="1" hidden="1">0</definedName>
    <definedName name="solver_ver" localSheetId="4" hidden="1">3</definedName>
    <definedName name="solver_ver" localSheetId="5" hidden="1">3</definedName>
    <definedName name="solver_ver" localSheetId="0" hidden="1">3</definedName>
    <definedName name="solver_ver" localSheetId="3" hidden="1">3</definedName>
    <definedName name="solver_ver" localSheetId="2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16" l="1"/>
  <c r="T9" i="1"/>
  <c r="T13" i="1"/>
  <c r="T5" i="1" l="1"/>
  <c r="V3" i="1"/>
  <c r="T23" i="1"/>
  <c r="T17" i="1"/>
  <c r="T27" i="16"/>
  <c r="T26" i="16"/>
  <c r="T25" i="16"/>
  <c r="T24" i="16"/>
  <c r="T23" i="16"/>
  <c r="T22" i="16"/>
  <c r="T21" i="16"/>
  <c r="T20" i="16"/>
  <c r="T19" i="16"/>
  <c r="T18" i="16"/>
  <c r="T17" i="16"/>
  <c r="T16" i="16"/>
  <c r="T15" i="16"/>
  <c r="T14" i="16"/>
  <c r="T13" i="16"/>
  <c r="T12" i="16"/>
  <c r="T11" i="16"/>
  <c r="T10" i="16"/>
  <c r="T9" i="16"/>
  <c r="T8" i="16"/>
  <c r="T7" i="16"/>
  <c r="V4" i="16"/>
  <c r="T25" i="15"/>
  <c r="T24" i="15"/>
  <c r="T23" i="15"/>
  <c r="T22" i="15"/>
  <c r="T21" i="15"/>
  <c r="T20" i="15"/>
  <c r="T19" i="15"/>
  <c r="T18" i="15"/>
  <c r="T17" i="15"/>
  <c r="T16" i="15"/>
  <c r="T15" i="15"/>
  <c r="T14" i="15"/>
  <c r="T13" i="15"/>
  <c r="T12" i="15"/>
  <c r="T11" i="15"/>
  <c r="T10" i="15"/>
  <c r="T9" i="15"/>
  <c r="T8" i="15"/>
  <c r="T7" i="15"/>
  <c r="T6" i="15"/>
  <c r="V4" i="15"/>
  <c r="T25" i="12"/>
  <c r="T25" i="11"/>
  <c r="T24" i="12"/>
  <c r="T23" i="12"/>
  <c r="T22" i="12"/>
  <c r="T21" i="12"/>
  <c r="T20" i="12"/>
  <c r="T19" i="12"/>
  <c r="T18" i="12"/>
  <c r="T17" i="12"/>
  <c r="T16" i="12"/>
  <c r="T15" i="12"/>
  <c r="T14" i="12"/>
  <c r="T13" i="12"/>
  <c r="T12" i="12"/>
  <c r="T11" i="12"/>
  <c r="T10" i="12"/>
  <c r="T9" i="12"/>
  <c r="T8" i="12"/>
  <c r="T7" i="12"/>
  <c r="T6" i="12"/>
  <c r="V4" i="12"/>
  <c r="T24" i="11"/>
  <c r="T23" i="11"/>
  <c r="T22" i="11"/>
  <c r="T21" i="11"/>
  <c r="T20" i="11"/>
  <c r="T19" i="11"/>
  <c r="T18" i="11"/>
  <c r="T17" i="11"/>
  <c r="T16" i="11"/>
  <c r="T15" i="11"/>
  <c r="T14" i="11"/>
  <c r="T13" i="11"/>
  <c r="T12" i="11"/>
  <c r="T11" i="11"/>
  <c r="T10" i="11"/>
  <c r="T9" i="11"/>
  <c r="T8" i="11"/>
  <c r="T7" i="11"/>
  <c r="T6" i="11"/>
  <c r="V4" i="11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T6" i="8"/>
  <c r="V4" i="8"/>
  <c r="T6" i="1" l="1"/>
  <c r="T7" i="1"/>
  <c r="T8" i="1"/>
  <c r="T10" i="1"/>
  <c r="T11" i="1"/>
  <c r="T12" i="1"/>
  <c r="T14" i="1"/>
  <c r="T15" i="1"/>
  <c r="T16" i="1"/>
  <c r="T18" i="1"/>
  <c r="T19" i="1"/>
  <c r="T20" i="1"/>
  <c r="T21" i="1"/>
  <c r="T22" i="1"/>
</calcChain>
</file>

<file path=xl/sharedStrings.xml><?xml version="1.0" encoding="utf-8"?>
<sst xmlns="http://schemas.openxmlformats.org/spreadsheetml/2006/main" count="274" uniqueCount="28">
  <si>
    <t xml:space="preserve">Decision Variable </t>
  </si>
  <si>
    <r>
      <t>x</t>
    </r>
    <r>
      <rPr>
        <vertAlign val="subscript"/>
        <sz val="11"/>
        <color theme="1"/>
        <rFont val="Aptos Narrow"/>
        <family val="2"/>
        <scheme val="minor"/>
      </rPr>
      <t>i1</t>
    </r>
  </si>
  <si>
    <r>
      <t>x</t>
    </r>
    <r>
      <rPr>
        <vertAlign val="subscript"/>
        <sz val="11"/>
        <color theme="1"/>
        <rFont val="Aptos Narrow"/>
        <family val="2"/>
        <scheme val="minor"/>
      </rPr>
      <t>i2</t>
    </r>
  </si>
  <si>
    <r>
      <t>x</t>
    </r>
    <r>
      <rPr>
        <vertAlign val="subscript"/>
        <sz val="11"/>
        <color theme="1"/>
        <rFont val="Aptos Narrow"/>
        <family val="2"/>
        <scheme val="minor"/>
      </rPr>
      <t>i3</t>
    </r>
  </si>
  <si>
    <r>
      <t>x</t>
    </r>
    <r>
      <rPr>
        <vertAlign val="subscript"/>
        <sz val="11"/>
        <color theme="1"/>
        <rFont val="Aptos Narrow"/>
        <family val="2"/>
        <scheme val="minor"/>
      </rPr>
      <t>f1</t>
    </r>
  </si>
  <si>
    <r>
      <t>x</t>
    </r>
    <r>
      <rPr>
        <vertAlign val="subscript"/>
        <sz val="11"/>
        <color theme="1"/>
        <rFont val="Aptos Narrow"/>
        <family val="2"/>
        <scheme val="minor"/>
      </rPr>
      <t>f2</t>
    </r>
  </si>
  <si>
    <r>
      <t>x</t>
    </r>
    <r>
      <rPr>
        <vertAlign val="subscript"/>
        <sz val="11"/>
        <color theme="1"/>
        <rFont val="Aptos Narrow"/>
        <family val="2"/>
        <scheme val="minor"/>
      </rPr>
      <t>f3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</si>
  <si>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f1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</si>
  <si>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f2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</si>
  <si>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f3</t>
    </r>
  </si>
  <si>
    <r>
      <t>W</t>
    </r>
    <r>
      <rPr>
        <vertAlign val="subscript"/>
        <sz val="11"/>
        <color theme="1"/>
        <rFont val="Aptos Narrow"/>
        <family val="2"/>
        <scheme val="minor"/>
      </rPr>
      <t>i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</si>
  <si>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i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</si>
  <si>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i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</si>
  <si>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i</t>
    </r>
  </si>
  <si>
    <r>
      <t>W</t>
    </r>
    <r>
      <rPr>
        <vertAlign val="subscript"/>
        <sz val="11"/>
        <color theme="1"/>
        <rFont val="Aptos Narrow"/>
        <family val="2"/>
        <scheme val="minor"/>
      </rPr>
      <t>f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</si>
  <si>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f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</si>
  <si>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f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</si>
  <si>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f</t>
    </r>
  </si>
  <si>
    <t>Objective function coeffcients</t>
  </si>
  <si>
    <t>Optimal Solution</t>
  </si>
  <si>
    <t>Z</t>
  </si>
  <si>
    <t>=</t>
  </si>
  <si>
    <t>Subject to:</t>
  </si>
  <si>
    <t>LHS</t>
  </si>
  <si>
    <t>RHS</t>
  </si>
  <si>
    <t>&lt;=</t>
  </si>
  <si>
    <t>&gt;=</t>
  </si>
  <si>
    <t>NOT FEASIBLE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</si>
</sst>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790C2-E821-442B-9793-A8688B5BA4A5}">
  <dimension ref="A1:V23"/>
  <sheetViews>
    <sheetView zoomScale="78" zoomScaleNormal="80" workbookViewId="0">
      <selection activeCell="A3" sqref="A3:XFD3"/>
    </sheetView>
  </sheetViews>
  <sheetFormatPr defaultRowHeight="14.5" x14ac:dyDescent="0.35"/>
  <cols>
    <col min="1" max="1" width="19.36328125" bestFit="1" customWidth="1"/>
    <col min="3" max="7" width="8.81640625" bestFit="1" customWidth="1"/>
    <col min="8" max="8" width="8.7265625" customWidth="1"/>
    <col min="9" max="10" width="8.81640625" bestFit="1" customWidth="1"/>
    <col min="11" max="19" width="8.7265625" customWidth="1"/>
    <col min="20" max="20" width="12.81640625" bestFit="1" customWidth="1"/>
    <col min="21" max="21" width="0" hidden="1" customWidth="1"/>
    <col min="22" max="22" width="8.81640625" bestFit="1" customWidth="1"/>
  </cols>
  <sheetData>
    <row r="1" spans="1:22" ht="16.5" x14ac:dyDescent="0.4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V1" t="s">
        <v>20</v>
      </c>
    </row>
    <row r="2" spans="1:22" x14ac:dyDescent="0.35">
      <c r="A2" t="s">
        <v>18</v>
      </c>
      <c r="C2">
        <v>300</v>
      </c>
      <c r="D2">
        <v>400</v>
      </c>
      <c r="E2">
        <v>200</v>
      </c>
      <c r="F2">
        <v>300</v>
      </c>
      <c r="G2">
        <v>400</v>
      </c>
      <c r="H2">
        <v>200</v>
      </c>
      <c r="I2">
        <v>3000</v>
      </c>
      <c r="J2">
        <v>4000</v>
      </c>
      <c r="K2">
        <v>5000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22" x14ac:dyDescent="0.35">
      <c r="A3" t="s">
        <v>19</v>
      </c>
      <c r="C3" s="1">
        <v>120</v>
      </c>
      <c r="D3" s="1">
        <v>30</v>
      </c>
      <c r="E3" s="1">
        <v>0</v>
      </c>
      <c r="F3" s="1">
        <v>150</v>
      </c>
      <c r="G3" s="1">
        <v>50</v>
      </c>
      <c r="H3" s="1">
        <v>0</v>
      </c>
      <c r="I3" s="1">
        <v>30</v>
      </c>
      <c r="J3" s="1">
        <v>0</v>
      </c>
      <c r="K3" s="1">
        <v>0</v>
      </c>
      <c r="L3" s="1">
        <v>690</v>
      </c>
      <c r="M3" s="1">
        <v>480</v>
      </c>
      <c r="N3" s="1">
        <v>960</v>
      </c>
      <c r="O3" s="1">
        <v>1260</v>
      </c>
      <c r="P3" s="1">
        <v>900</v>
      </c>
      <c r="Q3" s="1">
        <v>650</v>
      </c>
      <c r="R3" s="1">
        <v>1300</v>
      </c>
      <c r="S3" s="1">
        <v>1600</v>
      </c>
      <c r="T3" t="s">
        <v>21</v>
      </c>
      <c r="V3" s="2">
        <f>SUMPRODUCT(C2:S2,C3:S3)</f>
        <v>203000</v>
      </c>
    </row>
    <row r="4" spans="1:22" x14ac:dyDescent="0.35">
      <c r="A4" t="s">
        <v>22</v>
      </c>
      <c r="T4" t="s">
        <v>23</v>
      </c>
      <c r="V4" t="s">
        <v>24</v>
      </c>
    </row>
    <row r="5" spans="1:22" x14ac:dyDescent="0.35">
      <c r="C5">
        <v>1</v>
      </c>
      <c r="T5">
        <f>SUMPRODUCT($C$3:$S$3,C5:S5)</f>
        <v>120</v>
      </c>
      <c r="U5" t="s">
        <v>25</v>
      </c>
      <c r="V5">
        <v>120</v>
      </c>
    </row>
    <row r="6" spans="1:22" x14ac:dyDescent="0.35">
      <c r="D6">
        <v>1</v>
      </c>
      <c r="T6">
        <f t="shared" ref="T6:T22" si="0">SUMPRODUCT($C$3:$S$3,C6:S6)</f>
        <v>30</v>
      </c>
      <c r="U6" t="s">
        <v>25</v>
      </c>
      <c r="V6">
        <v>50</v>
      </c>
    </row>
    <row r="7" spans="1:22" x14ac:dyDescent="0.35">
      <c r="E7">
        <v>1</v>
      </c>
      <c r="T7">
        <f t="shared" si="0"/>
        <v>0</v>
      </c>
      <c r="U7" t="s">
        <v>25</v>
      </c>
      <c r="V7">
        <v>0</v>
      </c>
    </row>
    <row r="8" spans="1:22" x14ac:dyDescent="0.35">
      <c r="I8">
        <v>1</v>
      </c>
      <c r="T8">
        <f t="shared" si="0"/>
        <v>30</v>
      </c>
      <c r="U8" t="s">
        <v>25</v>
      </c>
      <c r="V8">
        <v>100</v>
      </c>
    </row>
    <row r="9" spans="1:22" x14ac:dyDescent="0.35">
      <c r="J9">
        <v>1</v>
      </c>
      <c r="T9">
        <f>SUMPRODUCT($C$3:$S$3,C9:S9)</f>
        <v>0</v>
      </c>
      <c r="U9" t="s">
        <v>25</v>
      </c>
      <c r="V9">
        <v>100</v>
      </c>
    </row>
    <row r="10" spans="1:22" x14ac:dyDescent="0.35">
      <c r="K10">
        <v>1</v>
      </c>
      <c r="T10">
        <f t="shared" si="0"/>
        <v>0</v>
      </c>
      <c r="U10" t="s">
        <v>25</v>
      </c>
      <c r="V10">
        <v>80</v>
      </c>
    </row>
    <row r="11" spans="1:22" x14ac:dyDescent="0.35">
      <c r="C11">
        <v>1</v>
      </c>
      <c r="D11">
        <v>1</v>
      </c>
      <c r="E11">
        <v>1</v>
      </c>
      <c r="T11">
        <f t="shared" si="0"/>
        <v>150</v>
      </c>
      <c r="U11" t="s">
        <v>26</v>
      </c>
      <c r="V11">
        <v>150</v>
      </c>
    </row>
    <row r="12" spans="1:22" x14ac:dyDescent="0.35">
      <c r="F12">
        <v>1</v>
      </c>
      <c r="G12">
        <v>1</v>
      </c>
      <c r="H12">
        <v>1</v>
      </c>
      <c r="T12">
        <f t="shared" si="0"/>
        <v>200</v>
      </c>
      <c r="U12" t="s">
        <v>26</v>
      </c>
      <c r="V12">
        <v>200</v>
      </c>
    </row>
    <row r="13" spans="1:22" x14ac:dyDescent="0.35">
      <c r="F13">
        <v>1</v>
      </c>
      <c r="I13">
        <v>-1</v>
      </c>
      <c r="T13">
        <f>SUMPRODUCT($C$3:$S$3,C13:S13)</f>
        <v>120</v>
      </c>
      <c r="U13" t="s">
        <v>25</v>
      </c>
      <c r="V13">
        <v>120</v>
      </c>
    </row>
    <row r="14" spans="1:22" x14ac:dyDescent="0.35">
      <c r="G14">
        <v>1</v>
      </c>
      <c r="J14">
        <v>-1</v>
      </c>
      <c r="T14">
        <f t="shared" si="0"/>
        <v>50</v>
      </c>
      <c r="U14" t="s">
        <v>25</v>
      </c>
      <c r="V14">
        <v>50</v>
      </c>
    </row>
    <row r="15" spans="1:22" x14ac:dyDescent="0.35">
      <c r="H15">
        <v>1</v>
      </c>
      <c r="K15">
        <v>-1</v>
      </c>
      <c r="T15">
        <f t="shared" si="0"/>
        <v>0</v>
      </c>
      <c r="U15" t="s">
        <v>25</v>
      </c>
      <c r="V15">
        <v>0</v>
      </c>
    </row>
    <row r="16" spans="1:22" x14ac:dyDescent="0.35">
      <c r="C16">
        <v>-5</v>
      </c>
      <c r="D16">
        <v>-3</v>
      </c>
      <c r="E16">
        <v>-1</v>
      </c>
      <c r="L16">
        <v>1</v>
      </c>
      <c r="T16">
        <f t="shared" si="0"/>
        <v>0</v>
      </c>
      <c r="U16" t="s">
        <v>21</v>
      </c>
      <c r="V16">
        <v>0</v>
      </c>
    </row>
    <row r="17" spans="3:22" x14ac:dyDescent="0.35">
      <c r="C17">
        <v>-3</v>
      </c>
      <c r="D17">
        <v>-4</v>
      </c>
      <c r="E17">
        <v>-10</v>
      </c>
      <c r="M17">
        <v>1</v>
      </c>
      <c r="T17">
        <f>SUMPRODUCT($C$3:$S$3,C17:S17)</f>
        <v>0</v>
      </c>
      <c r="U17" t="s">
        <v>21</v>
      </c>
      <c r="V17">
        <v>0</v>
      </c>
    </row>
    <row r="18" spans="3:22" x14ac:dyDescent="0.35">
      <c r="C18">
        <v>-6</v>
      </c>
      <c r="D18">
        <v>-8</v>
      </c>
      <c r="E18">
        <v>-3</v>
      </c>
      <c r="N18">
        <v>1</v>
      </c>
      <c r="T18">
        <f t="shared" si="0"/>
        <v>0</v>
      </c>
      <c r="U18" t="s">
        <v>21</v>
      </c>
      <c r="V18">
        <v>0</v>
      </c>
    </row>
    <row r="19" spans="3:22" x14ac:dyDescent="0.35">
      <c r="C19">
        <v>-10</v>
      </c>
      <c r="D19">
        <v>-2</v>
      </c>
      <c r="E19">
        <v>-5</v>
      </c>
      <c r="O19">
        <v>1</v>
      </c>
      <c r="T19">
        <f t="shared" si="0"/>
        <v>0</v>
      </c>
      <c r="U19" t="s">
        <v>21</v>
      </c>
      <c r="V19">
        <v>0</v>
      </c>
    </row>
    <row r="20" spans="3:22" x14ac:dyDescent="0.35">
      <c r="F20">
        <v>-5</v>
      </c>
      <c r="G20">
        <v>-3</v>
      </c>
      <c r="H20">
        <v>-1</v>
      </c>
      <c r="P20">
        <v>1</v>
      </c>
      <c r="T20">
        <f t="shared" si="0"/>
        <v>0</v>
      </c>
      <c r="U20" t="s">
        <v>21</v>
      </c>
      <c r="V20">
        <v>0</v>
      </c>
    </row>
    <row r="21" spans="3:22" x14ac:dyDescent="0.35">
      <c r="F21">
        <v>-3</v>
      </c>
      <c r="G21">
        <v>-4</v>
      </c>
      <c r="H21">
        <v>-10</v>
      </c>
      <c r="Q21">
        <v>1</v>
      </c>
      <c r="T21">
        <f t="shared" si="0"/>
        <v>0</v>
      </c>
      <c r="U21" t="s">
        <v>21</v>
      </c>
      <c r="V21">
        <v>0</v>
      </c>
    </row>
    <row r="22" spans="3:22" x14ac:dyDescent="0.35">
      <c r="F22">
        <v>-6</v>
      </c>
      <c r="G22">
        <v>-8</v>
      </c>
      <c r="H22">
        <v>-3</v>
      </c>
      <c r="R22">
        <v>1</v>
      </c>
      <c r="T22">
        <f t="shared" si="0"/>
        <v>0</v>
      </c>
      <c r="U22" t="s">
        <v>21</v>
      </c>
      <c r="V22">
        <v>0</v>
      </c>
    </row>
    <row r="23" spans="3:22" x14ac:dyDescent="0.35">
      <c r="F23">
        <v>-10</v>
      </c>
      <c r="G23">
        <v>-2</v>
      </c>
      <c r="H23">
        <v>-5</v>
      </c>
      <c r="S23">
        <v>1</v>
      </c>
      <c r="T23">
        <f>SUMPRODUCT($C$3:$S$3,C23:S23)</f>
        <v>0</v>
      </c>
      <c r="U23" t="s">
        <v>21</v>
      </c>
      <c r="V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BDCFA-1904-407C-8E35-3E4CEC5E4BA6}">
  <dimension ref="A1:V25"/>
  <sheetViews>
    <sheetView topLeftCell="B1" zoomScale="101" zoomScaleNormal="80" workbookViewId="0"/>
  </sheetViews>
  <sheetFormatPr defaultRowHeight="14.5" x14ac:dyDescent="0.35"/>
  <cols>
    <col min="1" max="1" width="19.36328125" bestFit="1" customWidth="1"/>
    <col min="3" max="7" width="8.81640625" bestFit="1" customWidth="1"/>
    <col min="8" max="8" width="12.26953125" bestFit="1" customWidth="1"/>
    <col min="9" max="10" width="8.81640625" bestFit="1" customWidth="1"/>
    <col min="11" max="11" width="12.81640625" bestFit="1" customWidth="1"/>
    <col min="12" max="15" width="8.81640625" bestFit="1" customWidth="1"/>
    <col min="16" max="16" width="11.1796875" bestFit="1" customWidth="1"/>
    <col min="17" max="19" width="8.81640625" bestFit="1" customWidth="1"/>
    <col min="20" max="20" width="12.81640625" bestFit="1" customWidth="1"/>
    <col min="22" max="22" width="8.81640625" bestFit="1" customWidth="1"/>
  </cols>
  <sheetData>
    <row r="1" spans="1:22" ht="16.5" x14ac:dyDescent="0.4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V1" t="s">
        <v>20</v>
      </c>
    </row>
    <row r="2" spans="1:22" x14ac:dyDescent="0.35">
      <c r="A2" t="s">
        <v>18</v>
      </c>
      <c r="C2">
        <v>300</v>
      </c>
      <c r="D2">
        <v>400</v>
      </c>
      <c r="E2">
        <v>200</v>
      </c>
      <c r="F2">
        <v>300</v>
      </c>
      <c r="G2">
        <v>400</v>
      </c>
      <c r="H2">
        <v>200</v>
      </c>
      <c r="I2">
        <v>3000</v>
      </c>
      <c r="J2">
        <v>4000</v>
      </c>
      <c r="K2">
        <v>5000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4" spans="1:22" x14ac:dyDescent="0.35">
      <c r="A4" t="s">
        <v>19</v>
      </c>
      <c r="C4" s="1">
        <v>120</v>
      </c>
      <c r="D4" s="1">
        <v>30</v>
      </c>
      <c r="E4" s="1">
        <v>0</v>
      </c>
      <c r="F4" s="1">
        <v>56.000000000000014</v>
      </c>
      <c r="G4" s="1">
        <v>63.999999999999986</v>
      </c>
      <c r="H4" s="1">
        <v>80</v>
      </c>
      <c r="I4" s="1">
        <v>0</v>
      </c>
      <c r="J4" s="1">
        <v>13.999999999999986</v>
      </c>
      <c r="K4" s="1">
        <v>80</v>
      </c>
      <c r="L4" s="1">
        <v>690</v>
      </c>
      <c r="M4" s="1">
        <v>480</v>
      </c>
      <c r="N4" s="1">
        <v>960</v>
      </c>
      <c r="O4" s="1">
        <v>1260</v>
      </c>
      <c r="P4" s="1">
        <v>552</v>
      </c>
      <c r="Q4" s="1">
        <v>1224</v>
      </c>
      <c r="R4" s="1">
        <v>1088</v>
      </c>
      <c r="S4" s="1">
        <v>1088</v>
      </c>
      <c r="T4" t="s">
        <v>21</v>
      </c>
      <c r="V4" s="2">
        <f>SUMPRODUCT(C2:S2,C4:S4)</f>
        <v>562400</v>
      </c>
    </row>
    <row r="5" spans="1:22" x14ac:dyDescent="0.35">
      <c r="A5" t="s">
        <v>22</v>
      </c>
      <c r="T5" t="s">
        <v>23</v>
      </c>
      <c r="V5" t="s">
        <v>24</v>
      </c>
    </row>
    <row r="6" spans="1:22" x14ac:dyDescent="0.35">
      <c r="C6">
        <v>1</v>
      </c>
      <c r="T6">
        <f>SUMPRODUCT($C$4:$S$4,C6:S6)</f>
        <v>120</v>
      </c>
      <c r="U6" t="s">
        <v>25</v>
      </c>
      <c r="V6">
        <v>120</v>
      </c>
    </row>
    <row r="7" spans="1:22" x14ac:dyDescent="0.35">
      <c r="D7">
        <v>1</v>
      </c>
      <c r="T7">
        <f t="shared" ref="T7:T25" si="0">SUMPRODUCT($C$4:$S$4,C7:S7)</f>
        <v>30</v>
      </c>
      <c r="U7" t="s">
        <v>25</v>
      </c>
      <c r="V7">
        <v>50</v>
      </c>
    </row>
    <row r="8" spans="1:22" x14ac:dyDescent="0.35">
      <c r="E8">
        <v>1</v>
      </c>
      <c r="T8">
        <f t="shared" si="0"/>
        <v>0</v>
      </c>
      <c r="U8" t="s">
        <v>25</v>
      </c>
      <c r="V8">
        <v>0</v>
      </c>
    </row>
    <row r="9" spans="1:22" x14ac:dyDescent="0.35">
      <c r="I9">
        <v>1</v>
      </c>
      <c r="T9">
        <f t="shared" si="0"/>
        <v>0</v>
      </c>
      <c r="U9" t="s">
        <v>25</v>
      </c>
      <c r="V9">
        <v>100</v>
      </c>
    </row>
    <row r="10" spans="1:22" x14ac:dyDescent="0.35">
      <c r="J10">
        <v>1</v>
      </c>
      <c r="T10">
        <f>SUMPRODUCT($C$4:$S$4,C10:S10)</f>
        <v>13.999999999999986</v>
      </c>
      <c r="U10" t="s">
        <v>25</v>
      </c>
      <c r="V10">
        <v>100</v>
      </c>
    </row>
    <row r="11" spans="1:22" x14ac:dyDescent="0.35">
      <c r="K11">
        <v>1</v>
      </c>
      <c r="T11">
        <f t="shared" si="0"/>
        <v>80</v>
      </c>
      <c r="U11" t="s">
        <v>25</v>
      </c>
      <c r="V11">
        <v>80</v>
      </c>
    </row>
    <row r="12" spans="1:22" x14ac:dyDescent="0.35">
      <c r="C12">
        <v>1</v>
      </c>
      <c r="D12">
        <v>1</v>
      </c>
      <c r="E12">
        <v>1</v>
      </c>
      <c r="T12">
        <f t="shared" si="0"/>
        <v>150</v>
      </c>
      <c r="U12" t="s">
        <v>26</v>
      </c>
      <c r="V12">
        <v>150</v>
      </c>
    </row>
    <row r="13" spans="1:22" x14ac:dyDescent="0.35">
      <c r="F13">
        <v>1</v>
      </c>
      <c r="G13">
        <v>1</v>
      </c>
      <c r="H13">
        <v>1</v>
      </c>
      <c r="T13">
        <f t="shared" si="0"/>
        <v>200</v>
      </c>
      <c r="U13" t="s">
        <v>26</v>
      </c>
      <c r="V13">
        <v>200</v>
      </c>
    </row>
    <row r="14" spans="1:22" x14ac:dyDescent="0.35">
      <c r="F14">
        <v>1</v>
      </c>
      <c r="I14">
        <v>-1</v>
      </c>
      <c r="T14">
        <f t="shared" si="0"/>
        <v>56.000000000000014</v>
      </c>
      <c r="U14" t="s">
        <v>25</v>
      </c>
      <c r="V14">
        <v>120</v>
      </c>
    </row>
    <row r="15" spans="1:22" x14ac:dyDescent="0.35">
      <c r="G15">
        <v>1</v>
      </c>
      <c r="J15">
        <v>-1</v>
      </c>
      <c r="T15">
        <f t="shared" si="0"/>
        <v>50</v>
      </c>
      <c r="U15" t="s">
        <v>25</v>
      </c>
      <c r="V15">
        <v>50</v>
      </c>
    </row>
    <row r="16" spans="1:22" x14ac:dyDescent="0.35">
      <c r="H16">
        <v>1</v>
      </c>
      <c r="K16">
        <v>-1</v>
      </c>
      <c r="T16">
        <f t="shared" si="0"/>
        <v>0</v>
      </c>
      <c r="U16" t="s">
        <v>25</v>
      </c>
      <c r="V16">
        <v>0</v>
      </c>
    </row>
    <row r="17" spans="3:22" x14ac:dyDescent="0.35">
      <c r="C17">
        <v>-5</v>
      </c>
      <c r="D17">
        <v>-3</v>
      </c>
      <c r="E17">
        <v>-1</v>
      </c>
      <c r="L17">
        <v>1</v>
      </c>
      <c r="T17">
        <f t="shared" si="0"/>
        <v>0</v>
      </c>
      <c r="U17" t="s">
        <v>21</v>
      </c>
      <c r="V17">
        <v>0</v>
      </c>
    </row>
    <row r="18" spans="3:22" x14ac:dyDescent="0.35">
      <c r="C18">
        <v>-3</v>
      </c>
      <c r="D18">
        <v>-4</v>
      </c>
      <c r="E18">
        <v>-10</v>
      </c>
      <c r="M18">
        <v>1</v>
      </c>
      <c r="T18">
        <f t="shared" si="0"/>
        <v>0</v>
      </c>
      <c r="U18" t="s">
        <v>21</v>
      </c>
      <c r="V18">
        <v>0</v>
      </c>
    </row>
    <row r="19" spans="3:22" x14ac:dyDescent="0.35">
      <c r="C19">
        <v>-6</v>
      </c>
      <c r="D19">
        <v>-8</v>
      </c>
      <c r="E19">
        <v>-3</v>
      </c>
      <c r="N19">
        <v>1</v>
      </c>
      <c r="T19">
        <f t="shared" si="0"/>
        <v>0</v>
      </c>
      <c r="U19" t="s">
        <v>21</v>
      </c>
      <c r="V19">
        <v>0</v>
      </c>
    </row>
    <row r="20" spans="3:22" x14ac:dyDescent="0.35">
      <c r="C20">
        <v>-10</v>
      </c>
      <c r="D20">
        <v>-2</v>
      </c>
      <c r="E20">
        <v>-5</v>
      </c>
      <c r="O20">
        <v>1</v>
      </c>
      <c r="T20">
        <f t="shared" si="0"/>
        <v>0</v>
      </c>
      <c r="U20" t="s">
        <v>21</v>
      </c>
      <c r="V20">
        <v>0</v>
      </c>
    </row>
    <row r="21" spans="3:22" x14ac:dyDescent="0.35">
      <c r="F21">
        <v>-5</v>
      </c>
      <c r="G21">
        <v>-3</v>
      </c>
      <c r="H21">
        <v>-1</v>
      </c>
      <c r="P21">
        <v>1</v>
      </c>
      <c r="T21">
        <f t="shared" si="0"/>
        <v>0</v>
      </c>
      <c r="U21" t="s">
        <v>21</v>
      </c>
      <c r="V21">
        <v>0</v>
      </c>
    </row>
    <row r="22" spans="3:22" x14ac:dyDescent="0.35">
      <c r="F22">
        <v>-3</v>
      </c>
      <c r="G22">
        <v>-4</v>
      </c>
      <c r="H22">
        <v>-10</v>
      </c>
      <c r="Q22">
        <v>1</v>
      </c>
      <c r="T22">
        <f t="shared" si="0"/>
        <v>0</v>
      </c>
      <c r="U22" t="s">
        <v>21</v>
      </c>
      <c r="V22">
        <v>0</v>
      </c>
    </row>
    <row r="23" spans="3:22" x14ac:dyDescent="0.35">
      <c r="F23">
        <v>-6</v>
      </c>
      <c r="G23">
        <v>-8</v>
      </c>
      <c r="H23">
        <v>-3</v>
      </c>
      <c r="R23">
        <v>1</v>
      </c>
      <c r="T23">
        <f t="shared" si="0"/>
        <v>0</v>
      </c>
      <c r="U23" t="s">
        <v>21</v>
      </c>
      <c r="V23">
        <v>0</v>
      </c>
    </row>
    <row r="24" spans="3:22" x14ac:dyDescent="0.35">
      <c r="F24">
        <v>-10</v>
      </c>
      <c r="G24">
        <v>-2</v>
      </c>
      <c r="H24">
        <v>-5</v>
      </c>
      <c r="S24">
        <v>1</v>
      </c>
      <c r="T24">
        <f t="shared" si="0"/>
        <v>0</v>
      </c>
      <c r="U24" t="s">
        <v>21</v>
      </c>
      <c r="V24">
        <v>0</v>
      </c>
    </row>
    <row r="25" spans="3:22" x14ac:dyDescent="0.35">
      <c r="P25">
        <v>1</v>
      </c>
      <c r="T25">
        <f t="shared" si="0"/>
        <v>552</v>
      </c>
      <c r="U25" t="s">
        <v>21</v>
      </c>
      <c r="V25">
        <v>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22B6B-4438-4B6B-9A55-FD7B401D0159}">
  <dimension ref="A1:W31"/>
  <sheetViews>
    <sheetView topLeftCell="E1" zoomScale="80" zoomScaleNormal="80" workbookViewId="0">
      <selection activeCell="W5" sqref="W5"/>
    </sheetView>
  </sheetViews>
  <sheetFormatPr defaultRowHeight="14.5" x14ac:dyDescent="0.35"/>
  <cols>
    <col min="1" max="1" width="19.36328125" bestFit="1" customWidth="1"/>
    <col min="3" max="7" width="8.81640625" bestFit="1" customWidth="1"/>
    <col min="8" max="8" width="12.26953125" bestFit="1" customWidth="1"/>
    <col min="9" max="10" width="8.81640625" bestFit="1" customWidth="1"/>
    <col min="11" max="11" width="12.81640625" bestFit="1" customWidth="1"/>
    <col min="12" max="15" width="8.81640625" bestFit="1" customWidth="1"/>
    <col min="16" max="16" width="11.1796875" bestFit="1" customWidth="1"/>
    <col min="17" max="19" width="8.81640625" bestFit="1" customWidth="1"/>
    <col min="20" max="20" width="12.81640625" bestFit="1" customWidth="1"/>
    <col min="22" max="22" width="8.81640625" bestFit="1" customWidth="1"/>
  </cols>
  <sheetData>
    <row r="1" spans="1:23" ht="16.5" x14ac:dyDescent="0.4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V1" t="s">
        <v>20</v>
      </c>
    </row>
    <row r="2" spans="1:23" x14ac:dyDescent="0.35">
      <c r="A2" t="s">
        <v>18</v>
      </c>
      <c r="C2">
        <v>300</v>
      </c>
      <c r="D2">
        <v>400</v>
      </c>
      <c r="E2">
        <v>200</v>
      </c>
      <c r="F2">
        <v>300</v>
      </c>
      <c r="G2">
        <v>400</v>
      </c>
      <c r="H2">
        <v>200</v>
      </c>
      <c r="I2">
        <v>3000</v>
      </c>
      <c r="J2">
        <v>4000</v>
      </c>
      <c r="K2">
        <v>5000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4" spans="1:23" ht="18.5" x14ac:dyDescent="0.45">
      <c r="A4" t="s">
        <v>19</v>
      </c>
      <c r="C4" s="1">
        <v>120</v>
      </c>
      <c r="D4" s="1">
        <v>30</v>
      </c>
      <c r="E4" s="1">
        <v>0</v>
      </c>
      <c r="F4" s="1">
        <v>128</v>
      </c>
      <c r="G4" s="1">
        <v>0</v>
      </c>
      <c r="H4" s="1">
        <v>0</v>
      </c>
      <c r="I4" s="1">
        <v>7.9999999999999947</v>
      </c>
      <c r="J4" s="1">
        <v>0</v>
      </c>
      <c r="K4" s="1">
        <v>0</v>
      </c>
      <c r="L4" s="1">
        <v>690</v>
      </c>
      <c r="M4" s="1">
        <v>480</v>
      </c>
      <c r="N4" s="1">
        <v>960</v>
      </c>
      <c r="O4" s="1">
        <v>1260</v>
      </c>
      <c r="P4" s="1">
        <v>640</v>
      </c>
      <c r="Q4" s="1">
        <v>384.00000000000006</v>
      </c>
      <c r="R4" s="1">
        <v>768</v>
      </c>
      <c r="S4" s="1">
        <v>1280</v>
      </c>
      <c r="T4" t="s">
        <v>21</v>
      </c>
      <c r="V4" s="2">
        <f>SUMPRODUCT(C2:S2,C4:S4)</f>
        <v>110399.99999999999</v>
      </c>
      <c r="W4" s="3" t="s">
        <v>27</v>
      </c>
    </row>
    <row r="5" spans="1:23" x14ac:dyDescent="0.35">
      <c r="A5" t="s">
        <v>22</v>
      </c>
      <c r="T5" t="s">
        <v>23</v>
      </c>
      <c r="V5" t="s">
        <v>24</v>
      </c>
    </row>
    <row r="6" spans="1:23" x14ac:dyDescent="0.35">
      <c r="C6">
        <v>1</v>
      </c>
      <c r="T6">
        <f>SUMPRODUCT($C$4:$S$4,C6:S6)</f>
        <v>120</v>
      </c>
      <c r="U6" t="s">
        <v>25</v>
      </c>
      <c r="V6">
        <v>120</v>
      </c>
    </row>
    <row r="7" spans="1:23" x14ac:dyDescent="0.35">
      <c r="D7">
        <v>1</v>
      </c>
      <c r="T7">
        <f t="shared" ref="T7:T25" si="0">SUMPRODUCT($C$4:$S$4,C7:S7)</f>
        <v>30</v>
      </c>
      <c r="U7" t="s">
        <v>25</v>
      </c>
      <c r="V7">
        <v>50</v>
      </c>
    </row>
    <row r="8" spans="1:23" x14ac:dyDescent="0.35">
      <c r="E8">
        <v>1</v>
      </c>
      <c r="T8">
        <f t="shared" si="0"/>
        <v>0</v>
      </c>
      <c r="U8" t="s">
        <v>25</v>
      </c>
      <c r="V8">
        <v>0</v>
      </c>
    </row>
    <row r="9" spans="1:23" x14ac:dyDescent="0.35">
      <c r="I9">
        <v>1</v>
      </c>
      <c r="T9">
        <f t="shared" si="0"/>
        <v>7.9999999999999947</v>
      </c>
      <c r="U9" t="s">
        <v>25</v>
      </c>
      <c r="V9">
        <v>100</v>
      </c>
    </row>
    <row r="10" spans="1:23" x14ac:dyDescent="0.35">
      <c r="J10">
        <v>1</v>
      </c>
      <c r="T10">
        <f>SUMPRODUCT($C$4:$S$4,C10:S10)</f>
        <v>0</v>
      </c>
      <c r="U10" t="s">
        <v>25</v>
      </c>
      <c r="V10">
        <v>100</v>
      </c>
    </row>
    <row r="11" spans="1:23" x14ac:dyDescent="0.35">
      <c r="K11">
        <v>1</v>
      </c>
      <c r="T11">
        <f t="shared" si="0"/>
        <v>0</v>
      </c>
      <c r="U11" t="s">
        <v>25</v>
      </c>
      <c r="V11">
        <v>80</v>
      </c>
    </row>
    <row r="12" spans="1:23" x14ac:dyDescent="0.35">
      <c r="C12">
        <v>1</v>
      </c>
      <c r="D12">
        <v>1</v>
      </c>
      <c r="E12">
        <v>1</v>
      </c>
      <c r="T12">
        <f t="shared" si="0"/>
        <v>150</v>
      </c>
      <c r="U12" t="s">
        <v>26</v>
      </c>
      <c r="V12">
        <v>150</v>
      </c>
    </row>
    <row r="13" spans="1:23" x14ac:dyDescent="0.35">
      <c r="F13">
        <v>1</v>
      </c>
      <c r="G13">
        <v>1</v>
      </c>
      <c r="H13">
        <v>1</v>
      </c>
      <c r="T13" s="2">
        <f t="shared" si="0"/>
        <v>128</v>
      </c>
      <c r="U13" s="2" t="s">
        <v>26</v>
      </c>
      <c r="V13" s="2">
        <v>200</v>
      </c>
    </row>
    <row r="14" spans="1:23" x14ac:dyDescent="0.35">
      <c r="F14">
        <v>1</v>
      </c>
      <c r="I14">
        <v>-1</v>
      </c>
      <c r="T14">
        <f t="shared" si="0"/>
        <v>120</v>
      </c>
      <c r="U14" t="s">
        <v>25</v>
      </c>
      <c r="V14">
        <v>120</v>
      </c>
    </row>
    <row r="15" spans="1:23" x14ac:dyDescent="0.35">
      <c r="G15">
        <v>1</v>
      </c>
      <c r="J15">
        <v>-1</v>
      </c>
      <c r="T15">
        <f t="shared" si="0"/>
        <v>0</v>
      </c>
      <c r="U15" t="s">
        <v>25</v>
      </c>
      <c r="V15">
        <v>50</v>
      </c>
    </row>
    <row r="16" spans="1:23" x14ac:dyDescent="0.35">
      <c r="H16">
        <v>1</v>
      </c>
      <c r="K16">
        <v>-1</v>
      </c>
      <c r="T16">
        <f t="shared" si="0"/>
        <v>0</v>
      </c>
      <c r="U16" t="s">
        <v>25</v>
      </c>
      <c r="V16">
        <v>0</v>
      </c>
    </row>
    <row r="17" spans="3:22" x14ac:dyDescent="0.35">
      <c r="C17">
        <v>-5</v>
      </c>
      <c r="D17">
        <v>-3</v>
      </c>
      <c r="E17">
        <v>-1</v>
      </c>
      <c r="L17">
        <v>1</v>
      </c>
      <c r="T17">
        <f t="shared" si="0"/>
        <v>0</v>
      </c>
      <c r="U17" t="s">
        <v>21</v>
      </c>
      <c r="V17">
        <v>0</v>
      </c>
    </row>
    <row r="18" spans="3:22" x14ac:dyDescent="0.35">
      <c r="C18">
        <v>-3</v>
      </c>
      <c r="D18">
        <v>-4</v>
      </c>
      <c r="E18">
        <v>-10</v>
      </c>
      <c r="M18">
        <v>1</v>
      </c>
      <c r="T18">
        <f t="shared" si="0"/>
        <v>0</v>
      </c>
      <c r="U18" t="s">
        <v>21</v>
      </c>
      <c r="V18">
        <v>0</v>
      </c>
    </row>
    <row r="19" spans="3:22" x14ac:dyDescent="0.35">
      <c r="C19">
        <v>-6</v>
      </c>
      <c r="D19">
        <v>-8</v>
      </c>
      <c r="E19">
        <v>-3</v>
      </c>
      <c r="N19">
        <v>1</v>
      </c>
      <c r="T19">
        <f t="shared" si="0"/>
        <v>0</v>
      </c>
      <c r="U19" t="s">
        <v>21</v>
      </c>
      <c r="V19">
        <v>0</v>
      </c>
    </row>
    <row r="20" spans="3:22" x14ac:dyDescent="0.35">
      <c r="C20">
        <v>-10</v>
      </c>
      <c r="D20">
        <v>-2</v>
      </c>
      <c r="E20">
        <v>-5</v>
      </c>
      <c r="O20">
        <v>1</v>
      </c>
      <c r="T20">
        <f t="shared" si="0"/>
        <v>0</v>
      </c>
      <c r="U20" t="s">
        <v>21</v>
      </c>
      <c r="V20">
        <v>0</v>
      </c>
    </row>
    <row r="21" spans="3:22" x14ac:dyDescent="0.35">
      <c r="F21">
        <v>-5</v>
      </c>
      <c r="G21">
        <v>-3</v>
      </c>
      <c r="H21">
        <v>-1</v>
      </c>
      <c r="P21">
        <v>1</v>
      </c>
      <c r="T21">
        <f t="shared" si="0"/>
        <v>0</v>
      </c>
      <c r="U21" t="s">
        <v>21</v>
      </c>
      <c r="V21">
        <v>0</v>
      </c>
    </row>
    <row r="22" spans="3:22" x14ac:dyDescent="0.35">
      <c r="F22">
        <v>-3</v>
      </c>
      <c r="G22">
        <v>-4</v>
      </c>
      <c r="H22">
        <v>-10</v>
      </c>
      <c r="Q22">
        <v>1</v>
      </c>
      <c r="T22">
        <f t="shared" si="0"/>
        <v>5.6843418860808015E-14</v>
      </c>
      <c r="U22" t="s">
        <v>21</v>
      </c>
      <c r="V22">
        <v>0</v>
      </c>
    </row>
    <row r="23" spans="3:22" x14ac:dyDescent="0.35">
      <c r="F23">
        <v>-6</v>
      </c>
      <c r="G23">
        <v>-8</v>
      </c>
      <c r="H23">
        <v>-3</v>
      </c>
      <c r="R23">
        <v>1</v>
      </c>
      <c r="T23">
        <f t="shared" si="0"/>
        <v>0</v>
      </c>
      <c r="U23" t="s">
        <v>21</v>
      </c>
      <c r="V23">
        <v>0</v>
      </c>
    </row>
    <row r="24" spans="3:22" x14ac:dyDescent="0.35">
      <c r="F24">
        <v>-10</v>
      </c>
      <c r="G24">
        <v>-2</v>
      </c>
      <c r="H24">
        <v>-5</v>
      </c>
      <c r="S24">
        <v>1</v>
      </c>
      <c r="T24">
        <f t="shared" si="0"/>
        <v>0</v>
      </c>
      <c r="U24" t="s">
        <v>21</v>
      </c>
      <c r="V24">
        <v>0</v>
      </c>
    </row>
    <row r="25" spans="3:22" x14ac:dyDescent="0.35">
      <c r="Q25">
        <v>1</v>
      </c>
      <c r="T25">
        <f t="shared" si="0"/>
        <v>384.00000000000006</v>
      </c>
      <c r="U25" t="s">
        <v>21</v>
      </c>
      <c r="V25">
        <v>384</v>
      </c>
    </row>
    <row r="26" spans="3:22" x14ac:dyDescent="0.35">
      <c r="T26">
        <v>0</v>
      </c>
      <c r="V26">
        <v>0</v>
      </c>
    </row>
    <row r="27" spans="3:22" x14ac:dyDescent="0.35">
      <c r="T27">
        <v>0</v>
      </c>
      <c r="V27">
        <v>0</v>
      </c>
    </row>
    <row r="28" spans="3:22" x14ac:dyDescent="0.35">
      <c r="T28">
        <v>0</v>
      </c>
      <c r="V28">
        <v>0</v>
      </c>
    </row>
    <row r="29" spans="3:22" x14ac:dyDescent="0.35">
      <c r="T29">
        <v>0</v>
      </c>
      <c r="V29">
        <v>0</v>
      </c>
    </row>
    <row r="30" spans="3:22" x14ac:dyDescent="0.35">
      <c r="T30">
        <v>0</v>
      </c>
      <c r="V30">
        <v>0</v>
      </c>
    </row>
    <row r="31" spans="3:22" x14ac:dyDescent="0.35">
      <c r="T31">
        <v>0</v>
      </c>
      <c r="V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13C8-B996-4D1F-BC2F-691C1F2FA3C0}">
  <dimension ref="A1:W31"/>
  <sheetViews>
    <sheetView topLeftCell="C1" zoomScale="80" zoomScaleNormal="80" workbookViewId="0">
      <selection activeCell="W5" sqref="W5"/>
    </sheetView>
  </sheetViews>
  <sheetFormatPr defaultRowHeight="14.5" x14ac:dyDescent="0.35"/>
  <cols>
    <col min="1" max="1" width="19.36328125" bestFit="1" customWidth="1"/>
    <col min="3" max="7" width="8.81640625" bestFit="1" customWidth="1"/>
    <col min="8" max="8" width="12.26953125" bestFit="1" customWidth="1"/>
    <col min="9" max="10" width="8.81640625" bestFit="1" customWidth="1"/>
    <col min="11" max="11" width="12.81640625" bestFit="1" customWidth="1"/>
    <col min="12" max="15" width="8.81640625" bestFit="1" customWidth="1"/>
    <col min="16" max="16" width="11.1796875" bestFit="1" customWidth="1"/>
    <col min="17" max="19" width="8.81640625" bestFit="1" customWidth="1"/>
    <col min="20" max="20" width="12.81640625" bestFit="1" customWidth="1"/>
    <col min="22" max="22" width="8.81640625" bestFit="1" customWidth="1"/>
  </cols>
  <sheetData>
    <row r="1" spans="1:23" ht="16.5" x14ac:dyDescent="0.4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V1" t="s">
        <v>20</v>
      </c>
    </row>
    <row r="2" spans="1:23" x14ac:dyDescent="0.35">
      <c r="A2" t="s">
        <v>18</v>
      </c>
      <c r="C2">
        <v>300</v>
      </c>
      <c r="D2">
        <v>400</v>
      </c>
      <c r="E2">
        <v>200</v>
      </c>
      <c r="F2">
        <v>300</v>
      </c>
      <c r="G2">
        <v>400</v>
      </c>
      <c r="H2">
        <v>200</v>
      </c>
      <c r="I2">
        <v>3000</v>
      </c>
      <c r="J2">
        <v>4000</v>
      </c>
      <c r="K2">
        <v>5000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4" spans="1:23" ht="21" x14ac:dyDescent="0.5">
      <c r="A4" t="s">
        <v>19</v>
      </c>
      <c r="C4" s="1">
        <v>120</v>
      </c>
      <c r="D4" s="1">
        <v>30</v>
      </c>
      <c r="E4" s="1">
        <v>0</v>
      </c>
      <c r="F4" s="1">
        <v>87.999999999999986</v>
      </c>
      <c r="G4" s="1">
        <v>0</v>
      </c>
      <c r="H4" s="1">
        <v>80</v>
      </c>
      <c r="I4" s="1">
        <v>0</v>
      </c>
      <c r="J4" s="1">
        <v>0</v>
      </c>
      <c r="K4" s="1">
        <v>80</v>
      </c>
      <c r="L4" s="1">
        <v>690</v>
      </c>
      <c r="M4" s="1">
        <v>480</v>
      </c>
      <c r="N4" s="1">
        <v>960</v>
      </c>
      <c r="O4" s="1">
        <v>1260</v>
      </c>
      <c r="P4" s="1">
        <v>520</v>
      </c>
      <c r="Q4" s="1">
        <v>1064</v>
      </c>
      <c r="R4" s="1">
        <v>768</v>
      </c>
      <c r="S4" s="1">
        <v>1280</v>
      </c>
      <c r="T4" t="s">
        <v>21</v>
      </c>
      <c r="V4" s="2">
        <f>SUMPRODUCT(C2:S2,C4:S4)</f>
        <v>490400</v>
      </c>
      <c r="W4" s="4" t="s">
        <v>27</v>
      </c>
    </row>
    <row r="5" spans="1:23" x14ac:dyDescent="0.35">
      <c r="A5" t="s">
        <v>22</v>
      </c>
      <c r="T5" t="s">
        <v>23</v>
      </c>
      <c r="V5" t="s">
        <v>24</v>
      </c>
    </row>
    <row r="6" spans="1:23" x14ac:dyDescent="0.35">
      <c r="C6">
        <v>1</v>
      </c>
      <c r="T6">
        <f>SUMPRODUCT($C$4:$S$4,C6:S6)</f>
        <v>120</v>
      </c>
      <c r="U6" t="s">
        <v>25</v>
      </c>
      <c r="V6">
        <v>120</v>
      </c>
    </row>
    <row r="7" spans="1:23" x14ac:dyDescent="0.35">
      <c r="D7">
        <v>1</v>
      </c>
      <c r="T7">
        <f t="shared" ref="T7:T25" si="0">SUMPRODUCT($C$4:$S$4,C7:S7)</f>
        <v>30</v>
      </c>
      <c r="U7" t="s">
        <v>25</v>
      </c>
      <c r="V7">
        <v>50</v>
      </c>
    </row>
    <row r="8" spans="1:23" x14ac:dyDescent="0.35">
      <c r="E8">
        <v>1</v>
      </c>
      <c r="T8">
        <f t="shared" si="0"/>
        <v>0</v>
      </c>
      <c r="U8" t="s">
        <v>25</v>
      </c>
      <c r="V8">
        <v>0</v>
      </c>
    </row>
    <row r="9" spans="1:23" x14ac:dyDescent="0.35">
      <c r="I9">
        <v>1</v>
      </c>
      <c r="T9">
        <f t="shared" si="0"/>
        <v>0</v>
      </c>
      <c r="U9" t="s">
        <v>25</v>
      </c>
      <c r="V9">
        <v>100</v>
      </c>
    </row>
    <row r="10" spans="1:23" x14ac:dyDescent="0.35">
      <c r="J10">
        <v>1</v>
      </c>
      <c r="T10">
        <f>SUMPRODUCT($C$4:$S$4,C10:S10)</f>
        <v>0</v>
      </c>
      <c r="U10" t="s">
        <v>25</v>
      </c>
      <c r="V10">
        <v>100</v>
      </c>
    </row>
    <row r="11" spans="1:23" x14ac:dyDescent="0.35">
      <c r="K11">
        <v>1</v>
      </c>
      <c r="T11">
        <f t="shared" si="0"/>
        <v>80</v>
      </c>
      <c r="U11" t="s">
        <v>25</v>
      </c>
      <c r="V11">
        <v>80</v>
      </c>
    </row>
    <row r="12" spans="1:23" x14ac:dyDescent="0.35">
      <c r="C12">
        <v>1</v>
      </c>
      <c r="D12">
        <v>1</v>
      </c>
      <c r="E12">
        <v>1</v>
      </c>
      <c r="T12">
        <f t="shared" si="0"/>
        <v>150</v>
      </c>
      <c r="U12" t="s">
        <v>26</v>
      </c>
      <c r="V12">
        <v>150</v>
      </c>
    </row>
    <row r="13" spans="1:23" x14ac:dyDescent="0.35">
      <c r="F13">
        <v>1</v>
      </c>
      <c r="G13">
        <v>1</v>
      </c>
      <c r="H13">
        <v>1</v>
      </c>
      <c r="T13" s="2">
        <f t="shared" si="0"/>
        <v>168</v>
      </c>
      <c r="U13" s="2" t="s">
        <v>26</v>
      </c>
      <c r="V13" s="2">
        <v>200</v>
      </c>
    </row>
    <row r="14" spans="1:23" x14ac:dyDescent="0.35">
      <c r="F14">
        <v>1</v>
      </c>
      <c r="I14">
        <v>-1</v>
      </c>
      <c r="T14">
        <f t="shared" si="0"/>
        <v>87.999999999999986</v>
      </c>
      <c r="U14" t="s">
        <v>25</v>
      </c>
      <c r="V14">
        <v>120</v>
      </c>
    </row>
    <row r="15" spans="1:23" x14ac:dyDescent="0.35">
      <c r="G15">
        <v>1</v>
      </c>
      <c r="J15">
        <v>-1</v>
      </c>
      <c r="T15">
        <f t="shared" si="0"/>
        <v>0</v>
      </c>
      <c r="U15" t="s">
        <v>25</v>
      </c>
      <c r="V15">
        <v>50</v>
      </c>
    </row>
    <row r="16" spans="1:23" x14ac:dyDescent="0.35">
      <c r="H16">
        <v>1</v>
      </c>
      <c r="K16">
        <v>-1</v>
      </c>
      <c r="T16">
        <f t="shared" si="0"/>
        <v>0</v>
      </c>
      <c r="U16" t="s">
        <v>25</v>
      </c>
      <c r="V16">
        <v>0</v>
      </c>
    </row>
    <row r="17" spans="3:22" x14ac:dyDescent="0.35">
      <c r="C17">
        <v>-5</v>
      </c>
      <c r="D17">
        <v>-3</v>
      </c>
      <c r="E17">
        <v>-1</v>
      </c>
      <c r="L17">
        <v>1</v>
      </c>
      <c r="T17">
        <f t="shared" si="0"/>
        <v>0</v>
      </c>
      <c r="U17" t="s">
        <v>21</v>
      </c>
      <c r="V17">
        <v>0</v>
      </c>
    </row>
    <row r="18" spans="3:22" x14ac:dyDescent="0.35">
      <c r="C18">
        <v>-3</v>
      </c>
      <c r="D18">
        <v>-4</v>
      </c>
      <c r="E18">
        <v>-10</v>
      </c>
      <c r="M18">
        <v>1</v>
      </c>
      <c r="T18">
        <f t="shared" si="0"/>
        <v>0</v>
      </c>
      <c r="U18" t="s">
        <v>21</v>
      </c>
      <c r="V18">
        <v>0</v>
      </c>
    </row>
    <row r="19" spans="3:22" x14ac:dyDescent="0.35">
      <c r="C19">
        <v>-6</v>
      </c>
      <c r="D19">
        <v>-8</v>
      </c>
      <c r="E19">
        <v>-3</v>
      </c>
      <c r="N19">
        <v>1</v>
      </c>
      <c r="T19">
        <f t="shared" si="0"/>
        <v>0</v>
      </c>
      <c r="U19" t="s">
        <v>21</v>
      </c>
      <c r="V19">
        <v>0</v>
      </c>
    </row>
    <row r="20" spans="3:22" x14ac:dyDescent="0.35">
      <c r="C20">
        <v>-10</v>
      </c>
      <c r="D20">
        <v>-2</v>
      </c>
      <c r="E20">
        <v>-5</v>
      </c>
      <c r="O20">
        <v>1</v>
      </c>
      <c r="T20">
        <f t="shared" si="0"/>
        <v>0</v>
      </c>
      <c r="U20" t="s">
        <v>21</v>
      </c>
      <c r="V20">
        <v>0</v>
      </c>
    </row>
    <row r="21" spans="3:22" x14ac:dyDescent="0.35">
      <c r="F21">
        <v>-5</v>
      </c>
      <c r="G21">
        <v>-3</v>
      </c>
      <c r="H21">
        <v>-1</v>
      </c>
      <c r="P21">
        <v>1</v>
      </c>
      <c r="T21">
        <f t="shared" si="0"/>
        <v>0</v>
      </c>
      <c r="U21" t="s">
        <v>21</v>
      </c>
      <c r="V21">
        <v>0</v>
      </c>
    </row>
    <row r="22" spans="3:22" x14ac:dyDescent="0.35">
      <c r="F22">
        <v>-3</v>
      </c>
      <c r="G22">
        <v>-4</v>
      </c>
      <c r="H22">
        <v>-10</v>
      </c>
      <c r="Q22">
        <v>1</v>
      </c>
      <c r="T22">
        <f t="shared" si="0"/>
        <v>0</v>
      </c>
      <c r="U22" t="s">
        <v>21</v>
      </c>
      <c r="V22">
        <v>0</v>
      </c>
    </row>
    <row r="23" spans="3:22" x14ac:dyDescent="0.35">
      <c r="F23">
        <v>-6</v>
      </c>
      <c r="G23">
        <v>-8</v>
      </c>
      <c r="H23">
        <v>-3</v>
      </c>
      <c r="R23">
        <v>1</v>
      </c>
      <c r="T23">
        <f t="shared" si="0"/>
        <v>1.1368683772161603E-13</v>
      </c>
      <c r="U23" t="s">
        <v>21</v>
      </c>
      <c r="V23">
        <v>0</v>
      </c>
    </row>
    <row r="24" spans="3:22" x14ac:dyDescent="0.35">
      <c r="F24">
        <v>-10</v>
      </c>
      <c r="G24">
        <v>-2</v>
      </c>
      <c r="H24">
        <v>-5</v>
      </c>
      <c r="S24">
        <v>1</v>
      </c>
      <c r="T24">
        <f t="shared" si="0"/>
        <v>0</v>
      </c>
      <c r="U24" t="s">
        <v>21</v>
      </c>
      <c r="V24">
        <v>0</v>
      </c>
    </row>
    <row r="25" spans="3:22" x14ac:dyDescent="0.35">
      <c r="R25">
        <v>1</v>
      </c>
      <c r="T25">
        <f t="shared" si="0"/>
        <v>768</v>
      </c>
      <c r="U25" t="s">
        <v>21</v>
      </c>
      <c r="V25">
        <v>768</v>
      </c>
    </row>
    <row r="26" spans="3:22" x14ac:dyDescent="0.35">
      <c r="T26">
        <v>0</v>
      </c>
      <c r="V26">
        <v>0</v>
      </c>
    </row>
    <row r="27" spans="3:22" x14ac:dyDescent="0.35">
      <c r="T27">
        <v>0</v>
      </c>
      <c r="V27">
        <v>0</v>
      </c>
    </row>
    <row r="28" spans="3:22" x14ac:dyDescent="0.35">
      <c r="T28">
        <v>0</v>
      </c>
      <c r="V28">
        <v>0</v>
      </c>
    </row>
    <row r="29" spans="3:22" x14ac:dyDescent="0.35">
      <c r="T29">
        <v>0</v>
      </c>
      <c r="V29">
        <v>0</v>
      </c>
    </row>
    <row r="30" spans="3:22" x14ac:dyDescent="0.35">
      <c r="T30">
        <v>0</v>
      </c>
      <c r="V30">
        <v>0</v>
      </c>
    </row>
    <row r="31" spans="3:22" x14ac:dyDescent="0.35">
      <c r="T31">
        <v>0</v>
      </c>
      <c r="V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F9341-B3ED-4F73-821B-4B343248D619}">
  <dimension ref="A1:V31"/>
  <sheetViews>
    <sheetView topLeftCell="D1" zoomScale="80" zoomScaleNormal="80" workbookViewId="0">
      <selection activeCell="T26" sqref="T26"/>
    </sheetView>
  </sheetViews>
  <sheetFormatPr defaultRowHeight="14.5" x14ac:dyDescent="0.35"/>
  <cols>
    <col min="1" max="1" width="19.36328125" bestFit="1" customWidth="1"/>
    <col min="3" max="7" width="8.81640625" bestFit="1" customWidth="1"/>
    <col min="8" max="8" width="12.26953125" bestFit="1" customWidth="1"/>
    <col min="9" max="10" width="8.81640625" bestFit="1" customWidth="1"/>
    <col min="11" max="11" width="12.81640625" bestFit="1" customWidth="1"/>
    <col min="12" max="15" width="8.81640625" bestFit="1" customWidth="1"/>
    <col min="16" max="16" width="11.1796875" bestFit="1" customWidth="1"/>
    <col min="17" max="19" width="8.81640625" bestFit="1" customWidth="1"/>
    <col min="20" max="20" width="12.81640625" bestFit="1" customWidth="1"/>
    <col min="22" max="22" width="8.81640625" bestFit="1" customWidth="1"/>
  </cols>
  <sheetData>
    <row r="1" spans="1:22" ht="16.5" x14ac:dyDescent="0.4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V1" t="s">
        <v>20</v>
      </c>
    </row>
    <row r="2" spans="1:22" x14ac:dyDescent="0.35">
      <c r="A2" t="s">
        <v>18</v>
      </c>
      <c r="C2">
        <v>300</v>
      </c>
      <c r="D2">
        <v>400</v>
      </c>
      <c r="E2">
        <v>200</v>
      </c>
      <c r="F2">
        <v>300</v>
      </c>
      <c r="G2">
        <v>400</v>
      </c>
      <c r="H2">
        <v>200</v>
      </c>
      <c r="I2">
        <v>3000</v>
      </c>
      <c r="J2">
        <v>4000</v>
      </c>
      <c r="K2">
        <v>5000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4" spans="1:22" x14ac:dyDescent="0.35">
      <c r="A4" t="s">
        <v>19</v>
      </c>
      <c r="C4" s="1">
        <v>120</v>
      </c>
      <c r="D4" s="1">
        <v>30</v>
      </c>
      <c r="E4" s="1">
        <v>0</v>
      </c>
      <c r="F4" s="1">
        <v>76.000000000000014</v>
      </c>
      <c r="G4" s="1">
        <v>123.99999999999999</v>
      </c>
      <c r="H4" s="1">
        <v>0</v>
      </c>
      <c r="I4" s="1">
        <v>0</v>
      </c>
      <c r="J4" s="1">
        <v>73.999999999999986</v>
      </c>
      <c r="K4" s="1">
        <v>0</v>
      </c>
      <c r="L4" s="1">
        <v>690</v>
      </c>
      <c r="M4" s="1">
        <v>480</v>
      </c>
      <c r="N4" s="1">
        <v>960</v>
      </c>
      <c r="O4" s="1">
        <v>1260</v>
      </c>
      <c r="P4" s="1">
        <v>752</v>
      </c>
      <c r="Q4" s="1">
        <v>724</v>
      </c>
      <c r="R4" s="1">
        <v>1448</v>
      </c>
      <c r="S4" s="1">
        <v>1008.0000000000001</v>
      </c>
      <c r="T4" t="s">
        <v>21</v>
      </c>
      <c r="V4" s="2">
        <f>SUMPRODUCT(C2:S2,C4:S4)</f>
        <v>416399.99999999994</v>
      </c>
    </row>
    <row r="5" spans="1:22" x14ac:dyDescent="0.35">
      <c r="A5" t="s">
        <v>22</v>
      </c>
      <c r="T5" t="s">
        <v>23</v>
      </c>
      <c r="V5" t="s">
        <v>24</v>
      </c>
    </row>
    <row r="6" spans="1:22" x14ac:dyDescent="0.35">
      <c r="C6">
        <v>1</v>
      </c>
      <c r="T6">
        <f>SUMPRODUCT($C$4:$S$4,C6:S6)</f>
        <v>120</v>
      </c>
      <c r="U6" t="s">
        <v>25</v>
      </c>
      <c r="V6">
        <v>120</v>
      </c>
    </row>
    <row r="7" spans="1:22" x14ac:dyDescent="0.35">
      <c r="D7">
        <v>1</v>
      </c>
      <c r="T7">
        <f t="shared" ref="T7:T25" si="0">SUMPRODUCT($C$4:$S$4,C7:S7)</f>
        <v>30</v>
      </c>
      <c r="U7" t="s">
        <v>25</v>
      </c>
      <c r="V7">
        <v>50</v>
      </c>
    </row>
    <row r="8" spans="1:22" x14ac:dyDescent="0.35">
      <c r="E8">
        <v>1</v>
      </c>
      <c r="T8">
        <f t="shared" si="0"/>
        <v>0</v>
      </c>
      <c r="U8" t="s">
        <v>25</v>
      </c>
      <c r="V8">
        <v>0</v>
      </c>
    </row>
    <row r="9" spans="1:22" x14ac:dyDescent="0.35">
      <c r="I9">
        <v>1</v>
      </c>
      <c r="T9">
        <f t="shared" si="0"/>
        <v>0</v>
      </c>
      <c r="U9" t="s">
        <v>25</v>
      </c>
      <c r="V9">
        <v>100</v>
      </c>
    </row>
    <row r="10" spans="1:22" x14ac:dyDescent="0.35">
      <c r="J10">
        <v>1</v>
      </c>
      <c r="T10">
        <f>SUMPRODUCT($C$4:$S$4,C10:S10)</f>
        <v>73.999999999999986</v>
      </c>
      <c r="U10" t="s">
        <v>25</v>
      </c>
      <c r="V10">
        <v>100</v>
      </c>
    </row>
    <row r="11" spans="1:22" x14ac:dyDescent="0.35">
      <c r="K11">
        <v>1</v>
      </c>
      <c r="T11">
        <f t="shared" si="0"/>
        <v>0</v>
      </c>
      <c r="U11" t="s">
        <v>25</v>
      </c>
      <c r="V11">
        <v>80</v>
      </c>
    </row>
    <row r="12" spans="1:22" x14ac:dyDescent="0.35">
      <c r="C12">
        <v>1</v>
      </c>
      <c r="D12">
        <v>1</v>
      </c>
      <c r="E12">
        <v>1</v>
      </c>
      <c r="T12">
        <f t="shared" si="0"/>
        <v>150</v>
      </c>
      <c r="U12" t="s">
        <v>26</v>
      </c>
      <c r="V12">
        <v>150</v>
      </c>
    </row>
    <row r="13" spans="1:22" x14ac:dyDescent="0.35">
      <c r="F13">
        <v>1</v>
      </c>
      <c r="G13">
        <v>1</v>
      </c>
      <c r="H13">
        <v>1</v>
      </c>
      <c r="T13">
        <f t="shared" si="0"/>
        <v>200</v>
      </c>
      <c r="U13" t="s">
        <v>26</v>
      </c>
      <c r="V13">
        <v>200</v>
      </c>
    </row>
    <row r="14" spans="1:22" x14ac:dyDescent="0.35">
      <c r="F14">
        <v>1</v>
      </c>
      <c r="I14">
        <v>-1</v>
      </c>
      <c r="T14">
        <f t="shared" si="0"/>
        <v>76.000000000000014</v>
      </c>
      <c r="U14" t="s">
        <v>25</v>
      </c>
      <c r="V14">
        <v>120</v>
      </c>
    </row>
    <row r="15" spans="1:22" x14ac:dyDescent="0.35">
      <c r="G15">
        <v>1</v>
      </c>
      <c r="J15">
        <v>-1</v>
      </c>
      <c r="T15">
        <f t="shared" si="0"/>
        <v>50</v>
      </c>
      <c r="U15" t="s">
        <v>25</v>
      </c>
      <c r="V15">
        <v>50</v>
      </c>
    </row>
    <row r="16" spans="1:22" x14ac:dyDescent="0.35">
      <c r="H16">
        <v>1</v>
      </c>
      <c r="K16">
        <v>-1</v>
      </c>
      <c r="T16">
        <f t="shared" si="0"/>
        <v>0</v>
      </c>
      <c r="U16" t="s">
        <v>25</v>
      </c>
      <c r="V16">
        <v>0</v>
      </c>
    </row>
    <row r="17" spans="3:22" x14ac:dyDescent="0.35">
      <c r="C17">
        <v>-5</v>
      </c>
      <c r="D17">
        <v>-3</v>
      </c>
      <c r="E17">
        <v>-1</v>
      </c>
      <c r="L17">
        <v>1</v>
      </c>
      <c r="T17">
        <f t="shared" si="0"/>
        <v>0</v>
      </c>
      <c r="U17" t="s">
        <v>21</v>
      </c>
      <c r="V17">
        <v>0</v>
      </c>
    </row>
    <row r="18" spans="3:22" x14ac:dyDescent="0.35">
      <c r="C18">
        <v>-3</v>
      </c>
      <c r="D18">
        <v>-4</v>
      </c>
      <c r="E18">
        <v>-10</v>
      </c>
      <c r="M18">
        <v>1</v>
      </c>
      <c r="T18">
        <f t="shared" si="0"/>
        <v>0</v>
      </c>
      <c r="U18" t="s">
        <v>21</v>
      </c>
      <c r="V18">
        <v>0</v>
      </c>
    </row>
    <row r="19" spans="3:22" x14ac:dyDescent="0.35">
      <c r="C19">
        <v>-6</v>
      </c>
      <c r="D19">
        <v>-8</v>
      </c>
      <c r="E19">
        <v>-3</v>
      </c>
      <c r="N19">
        <v>1</v>
      </c>
      <c r="T19">
        <f t="shared" si="0"/>
        <v>0</v>
      </c>
      <c r="U19" t="s">
        <v>21</v>
      </c>
      <c r="V19">
        <v>0</v>
      </c>
    </row>
    <row r="20" spans="3:22" x14ac:dyDescent="0.35">
      <c r="C20">
        <v>-10</v>
      </c>
      <c r="D20">
        <v>-2</v>
      </c>
      <c r="E20">
        <v>-5</v>
      </c>
      <c r="O20">
        <v>1</v>
      </c>
      <c r="T20">
        <f t="shared" si="0"/>
        <v>0</v>
      </c>
      <c r="U20" t="s">
        <v>21</v>
      </c>
      <c r="V20">
        <v>0</v>
      </c>
    </row>
    <row r="21" spans="3:22" x14ac:dyDescent="0.35">
      <c r="F21">
        <v>-5</v>
      </c>
      <c r="G21">
        <v>-3</v>
      </c>
      <c r="H21">
        <v>-1</v>
      </c>
      <c r="P21">
        <v>1</v>
      </c>
      <c r="T21">
        <f t="shared" si="0"/>
        <v>0</v>
      </c>
      <c r="U21" t="s">
        <v>21</v>
      </c>
      <c r="V21">
        <v>0</v>
      </c>
    </row>
    <row r="22" spans="3:22" x14ac:dyDescent="0.35">
      <c r="F22">
        <v>-3</v>
      </c>
      <c r="G22">
        <v>-4</v>
      </c>
      <c r="H22">
        <v>-10</v>
      </c>
      <c r="Q22">
        <v>1</v>
      </c>
      <c r="T22">
        <f t="shared" si="0"/>
        <v>0</v>
      </c>
      <c r="U22" t="s">
        <v>21</v>
      </c>
      <c r="V22">
        <v>0</v>
      </c>
    </row>
    <row r="23" spans="3:22" x14ac:dyDescent="0.35">
      <c r="F23">
        <v>-6</v>
      </c>
      <c r="G23">
        <v>-8</v>
      </c>
      <c r="H23">
        <v>-3</v>
      </c>
      <c r="R23">
        <v>1</v>
      </c>
      <c r="T23">
        <f t="shared" si="0"/>
        <v>0</v>
      </c>
      <c r="U23" t="s">
        <v>21</v>
      </c>
      <c r="V23">
        <v>0</v>
      </c>
    </row>
    <row r="24" spans="3:22" x14ac:dyDescent="0.35">
      <c r="F24">
        <v>-10</v>
      </c>
      <c r="G24">
        <v>-2</v>
      </c>
      <c r="H24">
        <v>-5</v>
      </c>
      <c r="S24">
        <v>1</v>
      </c>
      <c r="T24">
        <f t="shared" si="0"/>
        <v>0</v>
      </c>
      <c r="U24" t="s">
        <v>21</v>
      </c>
      <c r="V24">
        <v>0</v>
      </c>
    </row>
    <row r="25" spans="3:22" x14ac:dyDescent="0.35">
      <c r="S25">
        <v>1</v>
      </c>
      <c r="T25">
        <f t="shared" si="0"/>
        <v>1008.0000000000001</v>
      </c>
      <c r="U25" t="s">
        <v>21</v>
      </c>
      <c r="V25">
        <v>1008</v>
      </c>
    </row>
    <row r="26" spans="3:22" x14ac:dyDescent="0.35">
      <c r="T26">
        <v>0</v>
      </c>
      <c r="V26">
        <v>0</v>
      </c>
    </row>
    <row r="27" spans="3:22" x14ac:dyDescent="0.35">
      <c r="T27">
        <v>0</v>
      </c>
      <c r="V27">
        <v>0</v>
      </c>
    </row>
    <row r="28" spans="3:22" x14ac:dyDescent="0.35">
      <c r="T28">
        <v>0</v>
      </c>
      <c r="V28">
        <v>0</v>
      </c>
    </row>
    <row r="29" spans="3:22" x14ac:dyDescent="0.35">
      <c r="T29">
        <v>0</v>
      </c>
      <c r="V29">
        <v>0</v>
      </c>
    </row>
    <row r="30" spans="3:22" x14ac:dyDescent="0.35">
      <c r="T30">
        <v>0</v>
      </c>
      <c r="V30">
        <v>0</v>
      </c>
    </row>
    <row r="31" spans="3:22" x14ac:dyDescent="0.35">
      <c r="T31">
        <v>0</v>
      </c>
      <c r="V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F23F9-E2F0-4BAE-914A-DC050671E778}">
  <dimension ref="A1:V27"/>
  <sheetViews>
    <sheetView tabSelected="1" zoomScale="75" zoomScaleNormal="80" workbookViewId="0">
      <selection activeCell="T14" sqref="T14"/>
    </sheetView>
  </sheetViews>
  <sheetFormatPr defaultRowHeight="14.5" x14ac:dyDescent="0.35"/>
  <cols>
    <col min="1" max="1" width="19.36328125" bestFit="1" customWidth="1"/>
    <col min="3" max="7" width="8.81640625" bestFit="1" customWidth="1"/>
    <col min="8" max="8" width="12.26953125" bestFit="1" customWidth="1"/>
    <col min="9" max="10" width="8.81640625" bestFit="1" customWidth="1"/>
    <col min="11" max="11" width="12.81640625" bestFit="1" customWidth="1"/>
    <col min="12" max="15" width="8.81640625" bestFit="1" customWidth="1"/>
    <col min="16" max="16" width="11.1796875" bestFit="1" customWidth="1"/>
    <col min="17" max="19" width="8.81640625" bestFit="1" customWidth="1"/>
    <col min="20" max="20" width="12.81640625" bestFit="1" customWidth="1"/>
    <col min="22" max="22" width="8.81640625" bestFit="1" customWidth="1"/>
  </cols>
  <sheetData>
    <row r="1" spans="1:22" ht="16.5" x14ac:dyDescent="0.4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V1" t="s">
        <v>20</v>
      </c>
    </row>
    <row r="2" spans="1:22" hidden="1" x14ac:dyDescent="0.35">
      <c r="A2" t="s">
        <v>18</v>
      </c>
      <c r="C2">
        <v>300</v>
      </c>
      <c r="D2">
        <v>400</v>
      </c>
      <c r="E2">
        <v>200</v>
      </c>
      <c r="F2">
        <v>300</v>
      </c>
      <c r="G2">
        <v>400</v>
      </c>
      <c r="H2">
        <v>200</v>
      </c>
      <c r="I2">
        <v>3000</v>
      </c>
      <c r="J2">
        <v>4000</v>
      </c>
      <c r="K2">
        <v>5000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22" hidden="1" x14ac:dyDescent="0.35"/>
    <row r="4" spans="1:22" x14ac:dyDescent="0.35">
      <c r="A4" t="s">
        <v>19</v>
      </c>
      <c r="C4" s="1">
        <v>120</v>
      </c>
      <c r="D4" s="1">
        <v>30</v>
      </c>
      <c r="E4" s="1">
        <v>0</v>
      </c>
      <c r="F4" s="1">
        <v>48.727272727272727</v>
      </c>
      <c r="G4" s="1">
        <v>78.545454545454547</v>
      </c>
      <c r="H4" s="1">
        <v>72.72727272727272</v>
      </c>
      <c r="I4" s="1">
        <v>0</v>
      </c>
      <c r="J4" s="1">
        <v>28.545454545454547</v>
      </c>
      <c r="K4" s="1">
        <v>72.72727272727272</v>
      </c>
      <c r="L4" s="1">
        <v>690</v>
      </c>
      <c r="M4" s="1">
        <v>480</v>
      </c>
      <c r="N4" s="1">
        <v>960</v>
      </c>
      <c r="O4" s="1">
        <v>1260</v>
      </c>
      <c r="P4" s="1">
        <v>552</v>
      </c>
      <c r="Q4" s="1">
        <v>1187.6363636363637</v>
      </c>
      <c r="R4" s="1">
        <v>1138.9090909090908</v>
      </c>
      <c r="S4" s="1">
        <v>1008</v>
      </c>
      <c r="T4" t="s">
        <v>21</v>
      </c>
      <c r="V4" s="2">
        <f>SUMPRODUCT(C2:S2,C4:S4)</f>
        <v>586400</v>
      </c>
    </row>
    <row r="5" spans="1:22" x14ac:dyDescent="0.35">
      <c r="A5" t="s">
        <v>19</v>
      </c>
      <c r="C5" s="1">
        <v>120</v>
      </c>
      <c r="D5" s="1">
        <v>30</v>
      </c>
      <c r="E5" s="1">
        <v>0</v>
      </c>
      <c r="F5" s="1">
        <v>150</v>
      </c>
      <c r="G5" s="1">
        <v>50</v>
      </c>
      <c r="H5" s="1">
        <v>0</v>
      </c>
      <c r="I5" s="1">
        <v>30</v>
      </c>
      <c r="J5" s="1">
        <v>0</v>
      </c>
      <c r="K5" s="1">
        <v>0</v>
      </c>
      <c r="L5" s="1">
        <v>690</v>
      </c>
      <c r="M5" s="1">
        <v>480</v>
      </c>
      <c r="N5" s="1">
        <v>960</v>
      </c>
      <c r="O5" s="1">
        <v>1260</v>
      </c>
      <c r="P5" s="1">
        <v>900</v>
      </c>
      <c r="Q5" s="1">
        <v>650</v>
      </c>
      <c r="R5" s="1">
        <v>1300</v>
      </c>
      <c r="S5" s="1">
        <v>1600</v>
      </c>
      <c r="T5" t="s">
        <v>21</v>
      </c>
      <c r="V5" s="2">
        <f>SUMPRODUCT(C2:S2,C5:S5)</f>
        <v>203000</v>
      </c>
    </row>
    <row r="6" spans="1:22" x14ac:dyDescent="0.35">
      <c r="A6" t="s">
        <v>22</v>
      </c>
      <c r="T6" t="s">
        <v>23</v>
      </c>
      <c r="V6" t="s">
        <v>24</v>
      </c>
    </row>
    <row r="7" spans="1:22" x14ac:dyDescent="0.35">
      <c r="C7">
        <v>1</v>
      </c>
      <c r="T7">
        <f>SUMPRODUCT($C$4:$S$4,C7:S7)</f>
        <v>120</v>
      </c>
      <c r="U7" t="s">
        <v>25</v>
      </c>
      <c r="V7">
        <v>120</v>
      </c>
    </row>
    <row r="8" spans="1:22" x14ac:dyDescent="0.35">
      <c r="D8">
        <v>1</v>
      </c>
      <c r="T8">
        <f t="shared" ref="T8:T27" si="0">SUMPRODUCT($C$4:$S$4,C8:S8)</f>
        <v>30</v>
      </c>
      <c r="U8" t="s">
        <v>25</v>
      </c>
      <c r="V8">
        <v>50</v>
      </c>
    </row>
    <row r="9" spans="1:22" x14ac:dyDescent="0.35">
      <c r="E9">
        <v>1</v>
      </c>
      <c r="T9">
        <f t="shared" si="0"/>
        <v>0</v>
      </c>
      <c r="U9" t="s">
        <v>25</v>
      </c>
      <c r="V9">
        <v>0</v>
      </c>
    </row>
    <row r="10" spans="1:22" x14ac:dyDescent="0.35">
      <c r="I10">
        <v>1</v>
      </c>
      <c r="T10">
        <f t="shared" si="0"/>
        <v>0</v>
      </c>
      <c r="U10" t="s">
        <v>25</v>
      </c>
      <c r="V10">
        <v>100</v>
      </c>
    </row>
    <row r="11" spans="1:22" x14ac:dyDescent="0.35">
      <c r="J11">
        <v>1</v>
      </c>
      <c r="T11">
        <f>SUMPRODUCT($C$4:$S$4,C11:S11)</f>
        <v>28.545454545454547</v>
      </c>
      <c r="U11" t="s">
        <v>25</v>
      </c>
      <c r="V11">
        <v>100</v>
      </c>
    </row>
    <row r="12" spans="1:22" x14ac:dyDescent="0.35">
      <c r="K12">
        <v>1</v>
      </c>
      <c r="T12">
        <f t="shared" si="0"/>
        <v>72.72727272727272</v>
      </c>
      <c r="U12" t="s">
        <v>25</v>
      </c>
      <c r="V12">
        <v>80</v>
      </c>
    </row>
    <row r="13" spans="1:22" x14ac:dyDescent="0.35">
      <c r="C13">
        <v>1</v>
      </c>
      <c r="D13">
        <v>1</v>
      </c>
      <c r="E13">
        <v>1</v>
      </c>
      <c r="T13">
        <f t="shared" si="0"/>
        <v>150</v>
      </c>
      <c r="U13" t="s">
        <v>26</v>
      </c>
      <c r="V13">
        <v>150</v>
      </c>
    </row>
    <row r="14" spans="1:22" x14ac:dyDescent="0.35">
      <c r="F14">
        <v>1</v>
      </c>
      <c r="G14">
        <v>1</v>
      </c>
      <c r="H14">
        <v>1</v>
      </c>
      <c r="T14">
        <f t="shared" si="0"/>
        <v>200</v>
      </c>
      <c r="U14" t="s">
        <v>26</v>
      </c>
      <c r="V14">
        <v>200</v>
      </c>
    </row>
    <row r="15" spans="1:22" x14ac:dyDescent="0.35">
      <c r="F15">
        <v>1</v>
      </c>
      <c r="I15">
        <v>-1</v>
      </c>
      <c r="T15">
        <f t="shared" si="0"/>
        <v>48.727272727272727</v>
      </c>
      <c r="U15" t="s">
        <v>25</v>
      </c>
      <c r="V15">
        <v>120</v>
      </c>
    </row>
    <row r="16" spans="1:22" x14ac:dyDescent="0.35">
      <c r="G16">
        <v>1</v>
      </c>
      <c r="J16">
        <v>-1</v>
      </c>
      <c r="T16">
        <f t="shared" si="0"/>
        <v>50</v>
      </c>
      <c r="U16" t="s">
        <v>25</v>
      </c>
      <c r="V16">
        <v>50</v>
      </c>
    </row>
    <row r="17" spans="3:22" x14ac:dyDescent="0.35">
      <c r="H17">
        <v>1</v>
      </c>
      <c r="K17">
        <v>-1</v>
      </c>
      <c r="T17">
        <f t="shared" si="0"/>
        <v>0</v>
      </c>
      <c r="U17" t="s">
        <v>25</v>
      </c>
      <c r="V17">
        <v>0</v>
      </c>
    </row>
    <row r="18" spans="3:22" x14ac:dyDescent="0.35">
      <c r="C18">
        <v>-5</v>
      </c>
      <c r="D18">
        <v>-3</v>
      </c>
      <c r="E18">
        <v>-1</v>
      </c>
      <c r="L18">
        <v>1</v>
      </c>
      <c r="T18">
        <f t="shared" si="0"/>
        <v>0</v>
      </c>
      <c r="U18" t="s">
        <v>21</v>
      </c>
      <c r="V18">
        <v>0</v>
      </c>
    </row>
    <row r="19" spans="3:22" x14ac:dyDescent="0.35">
      <c r="C19">
        <v>-3</v>
      </c>
      <c r="D19">
        <v>-4</v>
      </c>
      <c r="E19">
        <v>-10</v>
      </c>
      <c r="M19">
        <v>1</v>
      </c>
      <c r="T19">
        <f t="shared" si="0"/>
        <v>0</v>
      </c>
      <c r="U19" t="s">
        <v>21</v>
      </c>
      <c r="V19">
        <v>0</v>
      </c>
    </row>
    <row r="20" spans="3:22" x14ac:dyDescent="0.35">
      <c r="C20">
        <v>-6</v>
      </c>
      <c r="D20">
        <v>-8</v>
      </c>
      <c r="E20">
        <v>-3</v>
      </c>
      <c r="N20">
        <v>1</v>
      </c>
      <c r="T20">
        <f t="shared" si="0"/>
        <v>0</v>
      </c>
      <c r="U20" t="s">
        <v>21</v>
      </c>
      <c r="V20">
        <v>0</v>
      </c>
    </row>
    <row r="21" spans="3:22" x14ac:dyDescent="0.35">
      <c r="C21">
        <v>-10</v>
      </c>
      <c r="D21">
        <v>-2</v>
      </c>
      <c r="E21">
        <v>-5</v>
      </c>
      <c r="O21">
        <v>1</v>
      </c>
      <c r="T21">
        <f t="shared" si="0"/>
        <v>0</v>
      </c>
      <c r="U21" t="s">
        <v>21</v>
      </c>
      <c r="V21">
        <v>0</v>
      </c>
    </row>
    <row r="22" spans="3:22" x14ac:dyDescent="0.35">
      <c r="F22">
        <v>-5</v>
      </c>
      <c r="G22">
        <v>-3</v>
      </c>
      <c r="H22">
        <v>-1</v>
      </c>
      <c r="P22">
        <v>1</v>
      </c>
      <c r="T22">
        <f t="shared" si="0"/>
        <v>0</v>
      </c>
      <c r="U22" t="s">
        <v>21</v>
      </c>
      <c r="V22">
        <v>0</v>
      </c>
    </row>
    <row r="23" spans="3:22" x14ac:dyDescent="0.35">
      <c r="F23">
        <v>-3</v>
      </c>
      <c r="G23">
        <v>-4</v>
      </c>
      <c r="H23">
        <v>-10</v>
      </c>
      <c r="Q23">
        <v>1</v>
      </c>
      <c r="T23">
        <f t="shared" si="0"/>
        <v>2.2737367544323206E-13</v>
      </c>
      <c r="U23" t="s">
        <v>21</v>
      </c>
      <c r="V23">
        <v>0</v>
      </c>
    </row>
    <row r="24" spans="3:22" x14ac:dyDescent="0.35">
      <c r="F24">
        <v>-6</v>
      </c>
      <c r="G24">
        <v>-8</v>
      </c>
      <c r="H24">
        <v>-3</v>
      </c>
      <c r="R24">
        <v>1</v>
      </c>
      <c r="T24">
        <f t="shared" si="0"/>
        <v>-2.2737367544323206E-13</v>
      </c>
      <c r="U24" t="s">
        <v>21</v>
      </c>
      <c r="V24">
        <v>0</v>
      </c>
    </row>
    <row r="25" spans="3:22" x14ac:dyDescent="0.35">
      <c r="F25">
        <v>-10</v>
      </c>
      <c r="G25">
        <v>-2</v>
      </c>
      <c r="H25">
        <v>-5</v>
      </c>
      <c r="S25">
        <v>1</v>
      </c>
      <c r="T25">
        <f t="shared" si="0"/>
        <v>0</v>
      </c>
      <c r="U25" t="s">
        <v>21</v>
      </c>
      <c r="V25">
        <v>0</v>
      </c>
    </row>
    <row r="26" spans="3:22" x14ac:dyDescent="0.35">
      <c r="S26">
        <v>1</v>
      </c>
      <c r="T26">
        <f t="shared" si="0"/>
        <v>1008</v>
      </c>
      <c r="U26" t="s">
        <v>21</v>
      </c>
      <c r="V26">
        <v>1008</v>
      </c>
    </row>
    <row r="27" spans="3:22" x14ac:dyDescent="0.35">
      <c r="P27">
        <v>1</v>
      </c>
      <c r="T27">
        <f t="shared" si="0"/>
        <v>552</v>
      </c>
      <c r="U27" t="s">
        <v>21</v>
      </c>
      <c r="V27">
        <v>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 a</vt:lpstr>
      <vt:lpstr>sheet1 b for water</vt:lpstr>
      <vt:lpstr>Sheet1 b for fuel</vt:lpstr>
      <vt:lpstr>Sheet1 b for electricity</vt:lpstr>
      <vt:lpstr>sheet 1 b for pollutant</vt:lpstr>
      <vt:lpstr>sheet 1 b for water and pol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Barzaiq</dc:creator>
  <cp:lastModifiedBy>Nada Barzaiq</cp:lastModifiedBy>
  <dcterms:created xsi:type="dcterms:W3CDTF">2025-04-26T19:44:50Z</dcterms:created>
  <dcterms:modified xsi:type="dcterms:W3CDTF">2025-05-04T19:02:52Z</dcterms:modified>
</cp:coreProperties>
</file>