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aema\Downloads\"/>
    </mc:Choice>
  </mc:AlternateContent>
  <xr:revisionPtr revIDLastSave="0" documentId="13_ncr:1_{BDAD5538-B111-4084-BD35-615131DB7E47}" xr6:coauthVersionLast="47" xr6:coauthVersionMax="47" xr10:uidLastSave="{00000000-0000-0000-0000-000000000000}"/>
  <bookViews>
    <workbookView xWindow="-108" yWindow="-108" windowWidth="23256" windowHeight="12456" activeTab="4" xr2:uid="{30876750-9DAA-432C-AC90-A5D12ED6E719}"/>
  </bookViews>
  <sheets>
    <sheet name="sheet1 abc" sheetId="1" r:id="rId1"/>
    <sheet name="Answer Report 1 (e)" sheetId="11" r:id="rId2"/>
    <sheet name="Sensitivity Report 1 (e)" sheetId="12" r:id="rId3"/>
    <sheet name="Limits Report 1 (e)" sheetId="13" r:id="rId4"/>
    <sheet name="sheet1 d" sheetId="3" r:id="rId5"/>
    <sheet name="sheet1 f" sheetId="7" r:id="rId6"/>
  </sheets>
  <definedNames>
    <definedName name="solver_adj" localSheetId="0" hidden="1">'sheet1 abc'!$C$4:$N$4</definedName>
    <definedName name="solver_adj" localSheetId="4" hidden="1">'sheet1 d'!$C$4:$N$4</definedName>
    <definedName name="solver_adj" localSheetId="5" hidden="1">'sheet1 f'!$C$4:$Q$4</definedName>
    <definedName name="solver_cvg" localSheetId="0" hidden="1">0.0001</definedName>
    <definedName name="solver_cvg" localSheetId="4" hidden="1">0.0001</definedName>
    <definedName name="solver_cvg" localSheetId="5" hidden="1">0.0001</definedName>
    <definedName name="solver_drv" localSheetId="0" hidden="1">1</definedName>
    <definedName name="solver_drv" localSheetId="4" hidden="1">1</definedName>
    <definedName name="solver_drv" localSheetId="5" hidden="1">1</definedName>
    <definedName name="solver_eng" localSheetId="0" hidden="1">1</definedName>
    <definedName name="solver_eng" localSheetId="4" hidden="1">2</definedName>
    <definedName name="solver_eng" localSheetId="5" hidden="1">2</definedName>
    <definedName name="solver_est" localSheetId="0" hidden="1">1</definedName>
    <definedName name="solver_est" localSheetId="4" hidden="1">1</definedName>
    <definedName name="solver_est" localSheetId="5" hidden="1">1</definedName>
    <definedName name="solver_itr" localSheetId="0" hidden="1">2147483647</definedName>
    <definedName name="solver_itr" localSheetId="4" hidden="1">2147483647</definedName>
    <definedName name="solver_itr" localSheetId="5" hidden="1">2147483647</definedName>
    <definedName name="solver_lhs1" localSheetId="0" hidden="1">'sheet1 abc'!$O$12:$O$14</definedName>
    <definedName name="solver_lhs1" localSheetId="4" hidden="1">'sheet1 d'!$O$12:$O$14</definedName>
    <definedName name="solver_lhs1" localSheetId="5" hidden="1">'sheet1 f'!$R$12:$R$14</definedName>
    <definedName name="solver_lhs2" localSheetId="0" hidden="1">'sheet1 abc'!$O$15:$O$23</definedName>
    <definedName name="solver_lhs2" localSheetId="4" hidden="1">'sheet1 d'!$O$15:$O$26</definedName>
    <definedName name="solver_lhs2" localSheetId="5" hidden="1">'sheet1 f'!$R$15:$R$30</definedName>
    <definedName name="solver_lhs3" localSheetId="0" hidden="1">'sheet1 abc'!$O$6:$O$8</definedName>
    <definedName name="solver_lhs3" localSheetId="4" hidden="1">'sheet1 d'!$O$6:$O$8</definedName>
    <definedName name="solver_lhs3" localSheetId="5" hidden="1">'sheet1 f'!$R$6:$R$8</definedName>
    <definedName name="solver_lhs4" localSheetId="0" hidden="1">'sheet1 abc'!$O$9:$O$11</definedName>
    <definedName name="solver_lhs4" localSheetId="4" hidden="1">'sheet1 d'!$O$9:$O$11</definedName>
    <definedName name="solver_lhs4" localSheetId="5" hidden="1">'sheet1 f'!$R$9:$R$11</definedName>
    <definedName name="solver_lhs5" localSheetId="4" hidden="1">'sheet1 d'!$O$9:$O$11</definedName>
    <definedName name="solver_lhs5" localSheetId="5" hidden="1">'sheet1 f'!$R$9:$R$11</definedName>
    <definedName name="solver_mip" localSheetId="0" hidden="1">2147483647</definedName>
    <definedName name="solver_mip" localSheetId="4" hidden="1">2147483647</definedName>
    <definedName name="solver_mip" localSheetId="5" hidden="1">2147483647</definedName>
    <definedName name="solver_mni" localSheetId="0" hidden="1">30</definedName>
    <definedName name="solver_mni" localSheetId="4" hidden="1">30</definedName>
    <definedName name="solver_mni" localSheetId="5" hidden="1">30</definedName>
    <definedName name="solver_mrt" localSheetId="0" hidden="1">0.075</definedName>
    <definedName name="solver_mrt" localSheetId="4" hidden="1">0.075</definedName>
    <definedName name="solver_mrt" localSheetId="5" hidden="1">0.075</definedName>
    <definedName name="solver_msl" localSheetId="0" hidden="1">2</definedName>
    <definedName name="solver_msl" localSheetId="4" hidden="1">2</definedName>
    <definedName name="solver_msl" localSheetId="5" hidden="1">2</definedName>
    <definedName name="solver_neg" localSheetId="0" hidden="1">1</definedName>
    <definedName name="solver_neg" localSheetId="4" hidden="1">1</definedName>
    <definedName name="solver_neg" localSheetId="5" hidden="1">1</definedName>
    <definedName name="solver_nod" localSheetId="0" hidden="1">2147483647</definedName>
    <definedName name="solver_nod" localSheetId="4" hidden="1">2147483647</definedName>
    <definedName name="solver_nod" localSheetId="5" hidden="1">2147483647</definedName>
    <definedName name="solver_num" localSheetId="0" hidden="1">4</definedName>
    <definedName name="solver_num" localSheetId="4" hidden="1">4</definedName>
    <definedName name="solver_num" localSheetId="5" hidden="1">4</definedName>
    <definedName name="solver_nwt" localSheetId="0" hidden="1">1</definedName>
    <definedName name="solver_nwt" localSheetId="4" hidden="1">1</definedName>
    <definedName name="solver_nwt" localSheetId="5" hidden="1">1</definedName>
    <definedName name="solver_opt" localSheetId="0" hidden="1">'sheet1 abc'!$Q$4</definedName>
    <definedName name="solver_opt" localSheetId="4" hidden="1">'sheet1 d'!$Q$4</definedName>
    <definedName name="solver_opt" localSheetId="5" hidden="1">'sheet1 f'!$T$4</definedName>
    <definedName name="solver_pre" localSheetId="0" hidden="1">0.000001</definedName>
    <definedName name="solver_pre" localSheetId="4" hidden="1">0.000001</definedName>
    <definedName name="solver_pre" localSheetId="5" hidden="1">0.000001</definedName>
    <definedName name="solver_rbv" localSheetId="0" hidden="1">1</definedName>
    <definedName name="solver_rbv" localSheetId="4" hidden="1">1</definedName>
    <definedName name="solver_rbv" localSheetId="5" hidden="1">1</definedName>
    <definedName name="solver_rel1" localSheetId="0" hidden="1">3</definedName>
    <definedName name="solver_rel1" localSheetId="4" hidden="1">3</definedName>
    <definedName name="solver_rel1" localSheetId="5" hidden="1">3</definedName>
    <definedName name="solver_rel2" localSheetId="0" hidden="1">1</definedName>
    <definedName name="solver_rel2" localSheetId="4" hidden="1">1</definedName>
    <definedName name="solver_rel2" localSheetId="5" hidden="1">1</definedName>
    <definedName name="solver_rel3" localSheetId="0" hidden="1">2</definedName>
    <definedName name="solver_rel3" localSheetId="4" hidden="1">2</definedName>
    <definedName name="solver_rel3" localSheetId="5" hidden="1">2</definedName>
    <definedName name="solver_rel4" localSheetId="0" hidden="1">1</definedName>
    <definedName name="solver_rel4" localSheetId="4" hidden="1">1</definedName>
    <definedName name="solver_rel4" localSheetId="5" hidden="1">1</definedName>
    <definedName name="solver_rel5" localSheetId="4" hidden="1">1</definedName>
    <definedName name="solver_rel5" localSheetId="5" hidden="1">1</definedName>
    <definedName name="solver_rhs1" localSheetId="0" hidden="1">'sheet1 abc'!$Q$12:$Q$14</definedName>
    <definedName name="solver_rhs1" localSheetId="4" hidden="1">'sheet1 d'!$Q$12:$Q$14</definedName>
    <definedName name="solver_rhs1" localSheetId="5" hidden="1">'sheet1 f'!$T$12:$T$14</definedName>
    <definedName name="solver_rhs2" localSheetId="0" hidden="1">'sheet1 abc'!$Q$15:$Q$23</definedName>
    <definedName name="solver_rhs2" localSheetId="4" hidden="1">'sheet1 d'!$Q$15:$Q$26</definedName>
    <definedName name="solver_rhs2" localSheetId="5" hidden="1">'sheet1 f'!$T$15:$T$30</definedName>
    <definedName name="solver_rhs3" localSheetId="0" hidden="1">'sheet1 abc'!$Q$6:$Q$8</definedName>
    <definedName name="solver_rhs3" localSheetId="4" hidden="1">'sheet1 d'!$Q$6:$Q$8</definedName>
    <definedName name="solver_rhs3" localSheetId="5" hidden="1">'sheet1 f'!$T$6:$T$8</definedName>
    <definedName name="solver_rhs4" localSheetId="0" hidden="1">'sheet1 abc'!$Q$9:$Q$11</definedName>
    <definedName name="solver_rhs4" localSheetId="4" hidden="1">'sheet1 d'!$Q$9:$Q$11</definedName>
    <definedName name="solver_rhs4" localSheetId="5" hidden="1">'sheet1 f'!$T$9:$T$11</definedName>
    <definedName name="solver_rhs5" localSheetId="4" hidden="1">'sheet1 d'!$Q$9:$Q$11</definedName>
    <definedName name="solver_rhs5" localSheetId="5" hidden="1">'sheet1 f'!$T$9:$T$11</definedName>
    <definedName name="solver_rlx" localSheetId="0" hidden="1">2</definedName>
    <definedName name="solver_rlx" localSheetId="4" hidden="1">2</definedName>
    <definedName name="solver_rlx" localSheetId="5" hidden="1">2</definedName>
    <definedName name="solver_rsd" localSheetId="0" hidden="1">0</definedName>
    <definedName name="solver_rsd" localSheetId="4" hidden="1">0</definedName>
    <definedName name="solver_rsd" localSheetId="5" hidden="1">0</definedName>
    <definedName name="solver_scl" localSheetId="0" hidden="1">1</definedName>
    <definedName name="solver_scl" localSheetId="4" hidden="1">1</definedName>
    <definedName name="solver_scl" localSheetId="5" hidden="1">1</definedName>
    <definedName name="solver_sho" localSheetId="3" hidden="1">2</definedName>
    <definedName name="solver_sho" localSheetId="0" hidden="1">2</definedName>
    <definedName name="solver_sho" localSheetId="4" hidden="1">2</definedName>
    <definedName name="solver_sho" localSheetId="5" hidden="1">2</definedName>
    <definedName name="solver_ssz" localSheetId="0" hidden="1">100</definedName>
    <definedName name="solver_ssz" localSheetId="4" hidden="1">100</definedName>
    <definedName name="solver_ssz" localSheetId="5" hidden="1">100</definedName>
    <definedName name="solver_tim" localSheetId="0" hidden="1">2147483647</definedName>
    <definedName name="solver_tim" localSheetId="4" hidden="1">2147483647</definedName>
    <definedName name="solver_tim" localSheetId="5" hidden="1">2147483647</definedName>
    <definedName name="solver_tol" localSheetId="0" hidden="1">0.01</definedName>
    <definedName name="solver_tol" localSheetId="4" hidden="1">0.01</definedName>
    <definedName name="solver_tol" localSheetId="5" hidden="1">0.01</definedName>
    <definedName name="solver_typ" localSheetId="0" hidden="1">1</definedName>
    <definedName name="solver_typ" localSheetId="4" hidden="1">1</definedName>
    <definedName name="solver_typ" localSheetId="5" hidden="1">1</definedName>
    <definedName name="solver_val" localSheetId="0" hidden="1">0</definedName>
    <definedName name="solver_val" localSheetId="4" hidden="1">0</definedName>
    <definedName name="solver_val" localSheetId="5" hidden="1">0</definedName>
    <definedName name="solver_ver" localSheetId="0" hidden="1">3</definedName>
    <definedName name="solver_ver" localSheetId="4" hidden="1">3</definedName>
    <definedName name="solver_ver" localSheetId="5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R22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3" i="7"/>
  <c r="R24" i="7"/>
  <c r="R25" i="7"/>
  <c r="R26" i="7"/>
  <c r="R27" i="7"/>
  <c r="R28" i="7"/>
  <c r="R29" i="7"/>
  <c r="R30" i="7"/>
  <c r="R6" i="7"/>
  <c r="O25" i="3"/>
  <c r="O26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Q4" i="3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Q4" i="1"/>
</calcChain>
</file>

<file path=xl/sharedStrings.xml><?xml version="1.0" encoding="utf-8"?>
<sst xmlns="http://schemas.openxmlformats.org/spreadsheetml/2006/main" count="418" uniqueCount="141">
  <si>
    <t xml:space="preserve">Decision Variables </t>
  </si>
  <si>
    <t>P1</t>
  </si>
  <si>
    <t>P2</t>
  </si>
  <si>
    <t>P3</t>
  </si>
  <si>
    <t>S11</t>
  </si>
  <si>
    <t>S21</t>
  </si>
  <si>
    <t>S31</t>
  </si>
  <si>
    <t>S12</t>
  </si>
  <si>
    <t>S22</t>
  </si>
  <si>
    <t>S32</t>
  </si>
  <si>
    <t>S13</t>
  </si>
  <si>
    <t>S23</t>
  </si>
  <si>
    <t>S33</t>
  </si>
  <si>
    <t>Z</t>
  </si>
  <si>
    <t xml:space="preserve">Objective Function Coefficients </t>
  </si>
  <si>
    <t xml:space="preserve">Optimal Solution </t>
  </si>
  <si>
    <t>=</t>
  </si>
  <si>
    <t>Subject To:</t>
  </si>
  <si>
    <t>LHS</t>
  </si>
  <si>
    <t>RHS</t>
  </si>
  <si>
    <t>&lt;=</t>
  </si>
  <si>
    <t>&gt;=</t>
  </si>
  <si>
    <t xml:space="preserve">&lt;= </t>
  </si>
  <si>
    <t>S41</t>
  </si>
  <si>
    <t>S42</t>
  </si>
  <si>
    <t>S43</t>
  </si>
  <si>
    <t>Microsoft Excel 16.0 Answer Report</t>
  </si>
  <si>
    <t>Worksheet: [Operations Research Q2.xlsx]sheet1 d</t>
  </si>
  <si>
    <t>Result: Solver found a solution.  All Constraints and optimality conditions are satisfied.</t>
  </si>
  <si>
    <t>Solver Engine</t>
  </si>
  <si>
    <t>Engine: Simplex LP</t>
  </si>
  <si>
    <t>Iterations: 21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</si>
  <si>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</si>
  <si>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</si>
  <si>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</si>
  <si>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</si>
  <si>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</si>
  <si>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</si>
  <si>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</si>
  <si>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</si>
  <si>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</si>
  <si>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</si>
  <si>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</si>
  <si>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</si>
  <si>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</si>
  <si>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</si>
  <si>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</si>
  <si>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$Q$4</t>
  </si>
  <si>
    <t>= Z</t>
  </si>
  <si>
    <t>$C$4</t>
  </si>
  <si>
    <t>Optimal Solution  P1</t>
  </si>
  <si>
    <t>Contin</t>
  </si>
  <si>
    <t>$D$4</t>
  </si>
  <si>
    <t>Optimal Solution  P2</t>
  </si>
  <si>
    <t>$E$4</t>
  </si>
  <si>
    <t>Optimal Solution  P3</t>
  </si>
  <si>
    <t>$F$4</t>
  </si>
  <si>
    <t>Optimal Solution  S11</t>
  </si>
  <si>
    <t>$G$4</t>
  </si>
  <si>
    <t>Optimal Solution  S21</t>
  </si>
  <si>
    <t>$H$4</t>
  </si>
  <si>
    <t>Optimal Solution  S31</t>
  </si>
  <si>
    <t>$I$4</t>
  </si>
  <si>
    <t>Optimal Solution  S12</t>
  </si>
  <si>
    <t>$J$4</t>
  </si>
  <si>
    <t>Optimal Solution  S22</t>
  </si>
  <si>
    <t>$K$4</t>
  </si>
  <si>
    <t>Optimal Solution  S32</t>
  </si>
  <si>
    <t>$L$4</t>
  </si>
  <si>
    <t>Optimal Solution  S13</t>
  </si>
  <si>
    <t>$M$4</t>
  </si>
  <si>
    <t>Optimal Solution  S23</t>
  </si>
  <si>
    <t>$N$4</t>
  </si>
  <si>
    <t>Optimal Solution  S33</t>
  </si>
  <si>
    <t>$O$12</t>
  </si>
  <si>
    <t>$O$12&gt;=$Q$12</t>
  </si>
  <si>
    <t>Binding</t>
  </si>
  <si>
    <t>$O$13</t>
  </si>
  <si>
    <t>$O$13&gt;=$Q$13</t>
  </si>
  <si>
    <t>Not Binding</t>
  </si>
  <si>
    <t>$O$14</t>
  </si>
  <si>
    <t>$O$14&gt;=$Q$14</t>
  </si>
  <si>
    <t>$O$15</t>
  </si>
  <si>
    <t>$O$15&lt;=$Q$15</t>
  </si>
  <si>
    <t>$O$16</t>
  </si>
  <si>
    <t>$O$16&lt;=$Q$16</t>
  </si>
  <si>
    <t>$O$17</t>
  </si>
  <si>
    <t>$O$17&lt;=$Q$17</t>
  </si>
  <si>
    <t>$O$18</t>
  </si>
  <si>
    <t>$O$18&lt;=$Q$18</t>
  </si>
  <si>
    <t>$O$19</t>
  </si>
  <si>
    <t>$O$19&lt;=$Q$19</t>
  </si>
  <si>
    <t>$O$20</t>
  </si>
  <si>
    <t>$O$20&lt;=$Q$20</t>
  </si>
  <si>
    <t>$O$21</t>
  </si>
  <si>
    <t>$O$21&lt;=$Q$21</t>
  </si>
  <si>
    <t>$O$22</t>
  </si>
  <si>
    <t>$O$22&lt;=$Q$22</t>
  </si>
  <si>
    <t>$O$23</t>
  </si>
  <si>
    <t>$O$23&lt;=$Q$23</t>
  </si>
  <si>
    <t>$O$24</t>
  </si>
  <si>
    <t>$O$24&lt;=$Q$24</t>
  </si>
  <si>
    <t>$O$25</t>
  </si>
  <si>
    <t>$O$25&lt;=$Q$25</t>
  </si>
  <si>
    <t>$O$26</t>
  </si>
  <si>
    <t>$O$26&lt;=$Q$26</t>
  </si>
  <si>
    <t>$O$6</t>
  </si>
  <si>
    <t>$O$6=$Q$6</t>
  </si>
  <si>
    <t>$O$7</t>
  </si>
  <si>
    <t>$O$7=$Q$7</t>
  </si>
  <si>
    <t>$O$8</t>
  </si>
  <si>
    <t>$O$8=$Q$8</t>
  </si>
  <si>
    <t>$O$9</t>
  </si>
  <si>
    <t>$O$9&lt;=$Q$9</t>
  </si>
  <si>
    <t>$O$10</t>
  </si>
  <si>
    <t>$O$10&lt;=$Q$10</t>
  </si>
  <si>
    <t>$O$11</t>
  </si>
  <si>
    <t>$O$11&lt;=$Q$11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</si>
  <si>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</si>
  <si>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</si>
  <si>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</si>
  <si>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</si>
  <si>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</si>
  <si>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</si>
  <si>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</si>
  <si>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</si>
  <si>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</si>
  <si>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</si>
  <si>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</si>
  <si>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</si>
  <si>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</si>
  <si>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</si>
  <si>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</si>
  <si>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</si>
  <si>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</si>
  <si>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</si>
  <si>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</si>
  <si>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</si>
  <si>
    <t>Report Created: 04/05/2025 06:04:41</t>
  </si>
  <si>
    <t>Solution Time: 0.032 Seconds.</t>
  </si>
  <si>
    <t>Report Created: 04/05/2025 06:04:42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</si>
</sst>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quotePrefix="1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3CD5-078D-4C20-9D13-50F20015316C}">
  <dimension ref="A1:Q23"/>
  <sheetViews>
    <sheetView zoomScale="81" workbookViewId="0">
      <selection activeCell="A9" sqref="A9"/>
    </sheetView>
  </sheetViews>
  <sheetFormatPr defaultRowHeight="14.4" x14ac:dyDescent="0.3"/>
  <cols>
    <col min="1" max="1" width="26.88671875" bestFit="1" customWidth="1"/>
    <col min="3" max="14" width="8.88671875" bestFit="1" customWidth="1"/>
    <col min="15" max="15" width="12.44140625" bestFit="1" customWidth="1"/>
    <col min="17" max="17" width="8.88671875" bestFit="1" customWidth="1"/>
  </cols>
  <sheetData>
    <row r="1" spans="1:17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t="s">
        <v>13</v>
      </c>
    </row>
    <row r="2" spans="1:17" x14ac:dyDescent="0.3">
      <c r="A2" t="s">
        <v>14</v>
      </c>
      <c r="C2">
        <v>675</v>
      </c>
      <c r="D2">
        <v>450</v>
      </c>
      <c r="E2">
        <v>500</v>
      </c>
      <c r="F2">
        <v>-7</v>
      </c>
      <c r="G2">
        <v>-9</v>
      </c>
      <c r="H2">
        <v>-5</v>
      </c>
      <c r="I2">
        <v>-14</v>
      </c>
      <c r="J2">
        <v>-12</v>
      </c>
      <c r="K2">
        <v>-18</v>
      </c>
      <c r="L2">
        <v>-8</v>
      </c>
      <c r="M2">
        <v>-9</v>
      </c>
      <c r="N2">
        <v>-10</v>
      </c>
    </row>
    <row r="4" spans="1:17" x14ac:dyDescent="0.3">
      <c r="A4" t="s">
        <v>15</v>
      </c>
      <c r="C4" s="1">
        <v>40</v>
      </c>
      <c r="D4" s="1">
        <v>112.49999999999997</v>
      </c>
      <c r="E4" s="1">
        <v>130</v>
      </c>
      <c r="F4" s="1">
        <v>1000</v>
      </c>
      <c r="G4" s="1">
        <v>999.99999999999989</v>
      </c>
      <c r="H4" s="1">
        <v>1000</v>
      </c>
      <c r="I4" s="1">
        <v>707.49999999999989</v>
      </c>
      <c r="J4" s="1">
        <v>1000</v>
      </c>
      <c r="K4" s="1">
        <v>0</v>
      </c>
      <c r="L4" s="1">
        <v>1000</v>
      </c>
      <c r="M4" s="1">
        <v>999.99999999999989</v>
      </c>
      <c r="N4" s="1">
        <v>124.99999999999986</v>
      </c>
      <c r="P4" t="s">
        <v>16</v>
      </c>
      <c r="Q4" s="2">
        <f>SUMPRODUCT(C2:N2,C4:N4)</f>
        <v>81470</v>
      </c>
    </row>
    <row r="5" spans="1:17" x14ac:dyDescent="0.3">
      <c r="A5" t="s">
        <v>17</v>
      </c>
      <c r="O5" t="s">
        <v>18</v>
      </c>
      <c r="Q5" t="s">
        <v>19</v>
      </c>
    </row>
    <row r="6" spans="1:17" x14ac:dyDescent="0.3">
      <c r="C6">
        <v>25</v>
      </c>
      <c r="D6">
        <v>12</v>
      </c>
      <c r="E6">
        <v>5</v>
      </c>
      <c r="F6">
        <v>-1</v>
      </c>
      <c r="G6">
        <v>-1</v>
      </c>
      <c r="H6">
        <v>-1</v>
      </c>
      <c r="O6">
        <f>SUMPRODUCT($C$4:$N$4,C6:N6)</f>
        <v>-3.4106051316484809E-13</v>
      </c>
      <c r="P6" t="s">
        <v>16</v>
      </c>
      <c r="Q6">
        <v>0</v>
      </c>
    </row>
    <row r="7" spans="1:17" x14ac:dyDescent="0.3">
      <c r="C7">
        <v>10</v>
      </c>
      <c r="D7">
        <v>7</v>
      </c>
      <c r="E7">
        <v>4</v>
      </c>
      <c r="I7">
        <v>-1</v>
      </c>
      <c r="J7">
        <v>-1</v>
      </c>
      <c r="K7">
        <v>-1</v>
      </c>
      <c r="O7">
        <f>SUMPRODUCT($C$4:$N$4,C7:N7)</f>
        <v>-1.1368683772161603E-13</v>
      </c>
      <c r="P7" t="s">
        <v>16</v>
      </c>
      <c r="Q7">
        <v>0</v>
      </c>
    </row>
    <row r="8" spans="1:17" x14ac:dyDescent="0.3">
      <c r="C8">
        <v>15</v>
      </c>
      <c r="D8">
        <v>2</v>
      </c>
      <c r="E8">
        <v>10</v>
      </c>
      <c r="L8">
        <v>-1</v>
      </c>
      <c r="M8">
        <v>-1</v>
      </c>
      <c r="N8">
        <v>-1</v>
      </c>
      <c r="O8">
        <f t="shared" ref="O8:O23" si="0">SUMPRODUCT($C$4:$N$4,C8:N8)</f>
        <v>2.5579538487363607E-13</v>
      </c>
      <c r="P8" t="s">
        <v>16</v>
      </c>
      <c r="Q8">
        <v>0</v>
      </c>
    </row>
    <row r="9" spans="1:17" x14ac:dyDescent="0.3">
      <c r="C9">
        <v>1</v>
      </c>
      <c r="O9">
        <f t="shared" si="0"/>
        <v>40</v>
      </c>
      <c r="P9" t="s">
        <v>20</v>
      </c>
      <c r="Q9">
        <v>250</v>
      </c>
    </row>
    <row r="10" spans="1:17" x14ac:dyDescent="0.3">
      <c r="D10">
        <v>1</v>
      </c>
      <c r="O10">
        <f t="shared" si="0"/>
        <v>112.49999999999997</v>
      </c>
      <c r="P10" t="s">
        <v>20</v>
      </c>
      <c r="Q10">
        <v>400</v>
      </c>
    </row>
    <row r="11" spans="1:17" x14ac:dyDescent="0.3">
      <c r="E11">
        <v>1</v>
      </c>
      <c r="O11">
        <f t="shared" si="0"/>
        <v>130</v>
      </c>
      <c r="P11" t="s">
        <v>20</v>
      </c>
      <c r="Q11">
        <v>130</v>
      </c>
    </row>
    <row r="12" spans="1:17" x14ac:dyDescent="0.3">
      <c r="C12">
        <v>1</v>
      </c>
      <c r="O12">
        <f t="shared" si="0"/>
        <v>40</v>
      </c>
      <c r="P12" t="s">
        <v>21</v>
      </c>
      <c r="Q12">
        <v>40</v>
      </c>
    </row>
    <row r="13" spans="1:17" x14ac:dyDescent="0.3">
      <c r="D13">
        <v>1</v>
      </c>
      <c r="O13">
        <f t="shared" si="0"/>
        <v>112.49999999999997</v>
      </c>
      <c r="P13" t="s">
        <v>21</v>
      </c>
      <c r="Q13">
        <v>110</v>
      </c>
    </row>
    <row r="14" spans="1:17" x14ac:dyDescent="0.3">
      <c r="E14">
        <v>1</v>
      </c>
      <c r="O14">
        <f t="shared" si="0"/>
        <v>130</v>
      </c>
      <c r="P14" t="s">
        <v>21</v>
      </c>
      <c r="Q14">
        <v>60</v>
      </c>
    </row>
    <row r="15" spans="1:17" x14ac:dyDescent="0.3">
      <c r="F15">
        <v>1</v>
      </c>
      <c r="O15">
        <f t="shared" si="0"/>
        <v>1000</v>
      </c>
      <c r="P15" t="s">
        <v>20</v>
      </c>
      <c r="Q15">
        <v>1000</v>
      </c>
    </row>
    <row r="16" spans="1:17" x14ac:dyDescent="0.3">
      <c r="G16">
        <v>1</v>
      </c>
      <c r="O16">
        <f t="shared" si="0"/>
        <v>999.99999999999989</v>
      </c>
      <c r="P16" t="s">
        <v>20</v>
      </c>
      <c r="Q16">
        <v>1000</v>
      </c>
    </row>
    <row r="17" spans="8:17" x14ac:dyDescent="0.3">
      <c r="H17">
        <v>1</v>
      </c>
      <c r="O17">
        <f t="shared" si="0"/>
        <v>1000</v>
      </c>
      <c r="P17" t="s">
        <v>20</v>
      </c>
      <c r="Q17">
        <v>1000</v>
      </c>
    </row>
    <row r="18" spans="8:17" x14ac:dyDescent="0.3">
      <c r="I18">
        <v>1</v>
      </c>
      <c r="O18">
        <f t="shared" si="0"/>
        <v>707.49999999999989</v>
      </c>
      <c r="P18" t="s">
        <v>20</v>
      </c>
      <c r="Q18">
        <v>1000</v>
      </c>
    </row>
    <row r="19" spans="8:17" x14ac:dyDescent="0.3">
      <c r="J19">
        <v>1</v>
      </c>
      <c r="O19">
        <f t="shared" si="0"/>
        <v>1000</v>
      </c>
      <c r="P19" t="s">
        <v>20</v>
      </c>
      <c r="Q19">
        <v>1000</v>
      </c>
    </row>
    <row r="20" spans="8:17" x14ac:dyDescent="0.3">
      <c r="K20">
        <v>1</v>
      </c>
      <c r="O20">
        <f t="shared" si="0"/>
        <v>0</v>
      </c>
      <c r="P20" t="s">
        <v>20</v>
      </c>
      <c r="Q20">
        <v>1000</v>
      </c>
    </row>
    <row r="21" spans="8:17" x14ac:dyDescent="0.3">
      <c r="L21">
        <v>1</v>
      </c>
      <c r="O21">
        <f t="shared" si="0"/>
        <v>1000</v>
      </c>
      <c r="P21" t="s">
        <v>20</v>
      </c>
      <c r="Q21">
        <v>1000</v>
      </c>
    </row>
    <row r="22" spans="8:17" x14ac:dyDescent="0.3">
      <c r="M22">
        <v>1</v>
      </c>
      <c r="O22">
        <f t="shared" si="0"/>
        <v>999.99999999999989</v>
      </c>
      <c r="P22" t="s">
        <v>20</v>
      </c>
      <c r="Q22">
        <v>1000</v>
      </c>
    </row>
    <row r="23" spans="8:17" x14ac:dyDescent="0.3">
      <c r="N23">
        <v>1</v>
      </c>
      <c r="O23">
        <f t="shared" si="0"/>
        <v>124.99999999999986</v>
      </c>
      <c r="P23" t="s">
        <v>20</v>
      </c>
      <c r="Q23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9EBA-7501-4C52-AA44-231E660DF21B}">
  <dimension ref="A1:G57"/>
  <sheetViews>
    <sheetView showGridLines="0" topLeftCell="A35" workbookViewId="0"/>
  </sheetViews>
  <sheetFormatPr defaultRowHeight="14.4" x14ac:dyDescent="0.3"/>
  <cols>
    <col min="1" max="1" width="2.33203125" customWidth="1"/>
    <col min="2" max="2" width="6.33203125" bestFit="1" customWidth="1"/>
    <col min="3" max="3" width="18" bestFit="1" customWidth="1"/>
    <col min="4" max="4" width="12.5546875" bestFit="1" customWidth="1"/>
    <col min="5" max="5" width="13.77734375" bestFit="1" customWidth="1"/>
    <col min="6" max="6" width="10.109375" bestFit="1" customWidth="1"/>
    <col min="7" max="7" width="12" bestFit="1" customWidth="1"/>
  </cols>
  <sheetData>
    <row r="1" spans="1:5" x14ac:dyDescent="0.3">
      <c r="A1" s="3" t="s">
        <v>26</v>
      </c>
    </row>
    <row r="2" spans="1:5" x14ac:dyDescent="0.3">
      <c r="A2" s="3" t="s">
        <v>27</v>
      </c>
    </row>
    <row r="3" spans="1:5" x14ac:dyDescent="0.3">
      <c r="A3" s="3" t="s">
        <v>138</v>
      </c>
    </row>
    <row r="4" spans="1:5" x14ac:dyDescent="0.3">
      <c r="A4" s="3" t="s">
        <v>28</v>
      </c>
    </row>
    <row r="5" spans="1:5" x14ac:dyDescent="0.3">
      <c r="A5" s="3" t="s">
        <v>29</v>
      </c>
    </row>
    <row r="6" spans="1:5" x14ac:dyDescent="0.3">
      <c r="A6" s="3"/>
      <c r="B6" t="s">
        <v>30</v>
      </c>
    </row>
    <row r="7" spans="1:5" x14ac:dyDescent="0.3">
      <c r="A7" s="3"/>
      <c r="B7" t="s">
        <v>139</v>
      </c>
    </row>
    <row r="8" spans="1:5" x14ac:dyDescent="0.3">
      <c r="A8" s="3"/>
      <c r="B8" t="s">
        <v>31</v>
      </c>
    </row>
    <row r="9" spans="1:5" x14ac:dyDescent="0.3">
      <c r="A9" s="3" t="s">
        <v>32</v>
      </c>
    </row>
    <row r="10" spans="1:5" x14ac:dyDescent="0.3">
      <c r="B10" t="s">
        <v>33</v>
      </c>
    </row>
    <row r="11" spans="1:5" x14ac:dyDescent="0.3">
      <c r="B11" t="s">
        <v>34</v>
      </c>
    </row>
    <row r="14" spans="1:5" ht="15" thickBot="1" x14ac:dyDescent="0.35">
      <c r="A14" t="s">
        <v>35</v>
      </c>
    </row>
    <row r="15" spans="1:5" ht="15" thickBot="1" x14ac:dyDescent="0.35">
      <c r="B15" s="5" t="s">
        <v>36</v>
      </c>
      <c r="C15" s="5" t="s">
        <v>37</v>
      </c>
      <c r="D15" s="5" t="s">
        <v>38</v>
      </c>
      <c r="E15" s="5" t="s">
        <v>39</v>
      </c>
    </row>
    <row r="16" spans="1:5" ht="15" thickBot="1" x14ac:dyDescent="0.35">
      <c r="B16" s="4" t="s">
        <v>47</v>
      </c>
      <c r="C16" s="7" t="s">
        <v>48</v>
      </c>
      <c r="D16" s="8">
        <v>80914.444444444554</v>
      </c>
      <c r="E16" s="8">
        <v>80914.444444444554</v>
      </c>
    </row>
    <row r="19" spans="1:6" ht="15" thickBot="1" x14ac:dyDescent="0.35">
      <c r="A19" t="s">
        <v>40</v>
      </c>
    </row>
    <row r="20" spans="1:6" ht="15" thickBot="1" x14ac:dyDescent="0.35">
      <c r="B20" s="5" t="s">
        <v>36</v>
      </c>
      <c r="C20" s="5" t="s">
        <v>37</v>
      </c>
      <c r="D20" s="5" t="s">
        <v>38</v>
      </c>
      <c r="E20" s="5" t="s">
        <v>39</v>
      </c>
      <c r="F20" s="5" t="s">
        <v>41</v>
      </c>
    </row>
    <row r="21" spans="1:6" x14ac:dyDescent="0.3">
      <c r="B21" s="6" t="s">
        <v>49</v>
      </c>
      <c r="C21" s="6" t="s">
        <v>50</v>
      </c>
      <c r="D21" s="9">
        <v>39.999999999999993</v>
      </c>
      <c r="E21" s="9">
        <v>39.999999999999993</v>
      </c>
      <c r="F21" s="6" t="s">
        <v>51</v>
      </c>
    </row>
    <row r="22" spans="1:6" x14ac:dyDescent="0.3">
      <c r="B22" s="6" t="s">
        <v>52</v>
      </c>
      <c r="C22" s="6" t="s">
        <v>53</v>
      </c>
      <c r="D22" s="9">
        <v>112.5000000000002</v>
      </c>
      <c r="E22" s="9">
        <v>112.5000000000002</v>
      </c>
      <c r="F22" s="6" t="s">
        <v>51</v>
      </c>
    </row>
    <row r="23" spans="1:6" x14ac:dyDescent="0.3">
      <c r="B23" s="6" t="s">
        <v>54</v>
      </c>
      <c r="C23" s="6" t="s">
        <v>55</v>
      </c>
      <c r="D23" s="9">
        <v>130</v>
      </c>
      <c r="E23" s="9">
        <v>130</v>
      </c>
      <c r="F23" s="6" t="s">
        <v>51</v>
      </c>
    </row>
    <row r="24" spans="1:6" x14ac:dyDescent="0.3">
      <c r="B24" s="6" t="s">
        <v>56</v>
      </c>
      <c r="C24" s="6" t="s">
        <v>57</v>
      </c>
      <c r="D24" s="9">
        <v>1000.0000000000009</v>
      </c>
      <c r="E24" s="9">
        <v>1000.0000000000009</v>
      </c>
      <c r="F24" s="6" t="s">
        <v>51</v>
      </c>
    </row>
    <row r="25" spans="1:6" x14ac:dyDescent="0.3">
      <c r="B25" s="6" t="s">
        <v>58</v>
      </c>
      <c r="C25" s="6" t="s">
        <v>59</v>
      </c>
      <c r="D25" s="9">
        <v>999.99999999999989</v>
      </c>
      <c r="E25" s="9">
        <v>999.99999999999989</v>
      </c>
      <c r="F25" s="6" t="s">
        <v>51</v>
      </c>
    </row>
    <row r="26" spans="1:6" x14ac:dyDescent="0.3">
      <c r="B26" s="6" t="s">
        <v>60</v>
      </c>
      <c r="C26" s="6" t="s">
        <v>61</v>
      </c>
      <c r="D26" s="9">
        <v>1000</v>
      </c>
      <c r="E26" s="9">
        <v>1000</v>
      </c>
      <c r="F26" s="6" t="s">
        <v>51</v>
      </c>
    </row>
    <row r="27" spans="1:6" x14ac:dyDescent="0.3">
      <c r="B27" s="6" t="s">
        <v>62</v>
      </c>
      <c r="C27" s="6" t="s">
        <v>63</v>
      </c>
      <c r="D27" s="9">
        <v>707.50000000000034</v>
      </c>
      <c r="E27" s="9">
        <v>707.50000000000034</v>
      </c>
      <c r="F27" s="6" t="s">
        <v>51</v>
      </c>
    </row>
    <row r="28" spans="1:6" x14ac:dyDescent="0.3">
      <c r="B28" s="6" t="s">
        <v>64</v>
      </c>
      <c r="C28" s="6" t="s">
        <v>65</v>
      </c>
      <c r="D28" s="9">
        <v>1000</v>
      </c>
      <c r="E28" s="9">
        <v>1000</v>
      </c>
      <c r="F28" s="6" t="s">
        <v>51</v>
      </c>
    </row>
    <row r="29" spans="1:6" x14ac:dyDescent="0.3">
      <c r="B29" s="6" t="s">
        <v>66</v>
      </c>
      <c r="C29" s="6" t="s">
        <v>67</v>
      </c>
      <c r="D29" s="9">
        <v>0</v>
      </c>
      <c r="E29" s="9">
        <v>0</v>
      </c>
      <c r="F29" s="6" t="s">
        <v>51</v>
      </c>
    </row>
    <row r="30" spans="1:6" x14ac:dyDescent="0.3">
      <c r="B30" s="6" t="s">
        <v>68</v>
      </c>
      <c r="C30" s="6" t="s">
        <v>69</v>
      </c>
      <c r="D30" s="9">
        <v>1000</v>
      </c>
      <c r="E30" s="9">
        <v>1000</v>
      </c>
      <c r="F30" s="6" t="s">
        <v>51</v>
      </c>
    </row>
    <row r="31" spans="1:6" x14ac:dyDescent="0.3">
      <c r="B31" s="6" t="s">
        <v>70</v>
      </c>
      <c r="C31" s="6" t="s">
        <v>71</v>
      </c>
      <c r="D31" s="9">
        <v>444.44444444444463</v>
      </c>
      <c r="E31" s="9">
        <v>444.44444444444463</v>
      </c>
      <c r="F31" s="6" t="s">
        <v>51</v>
      </c>
    </row>
    <row r="32" spans="1:6" ht="15" thickBot="1" x14ac:dyDescent="0.35">
      <c r="B32" s="4" t="s">
        <v>72</v>
      </c>
      <c r="C32" s="4" t="s">
        <v>73</v>
      </c>
      <c r="D32" s="8">
        <v>680.55555555555384</v>
      </c>
      <c r="E32" s="8">
        <v>680.55555555555384</v>
      </c>
      <c r="F32" s="4" t="s">
        <v>51</v>
      </c>
    </row>
    <row r="35" spans="1:7" ht="15" thickBot="1" x14ac:dyDescent="0.35">
      <c r="A35" t="s">
        <v>42</v>
      </c>
    </row>
    <row r="36" spans="1:7" ht="15" thickBot="1" x14ac:dyDescent="0.35">
      <c r="B36" s="5" t="s">
        <v>36</v>
      </c>
      <c r="C36" s="5" t="s">
        <v>37</v>
      </c>
      <c r="D36" s="5" t="s">
        <v>43</v>
      </c>
      <c r="E36" s="5" t="s">
        <v>44</v>
      </c>
      <c r="F36" s="5" t="s">
        <v>45</v>
      </c>
      <c r="G36" s="5" t="s">
        <v>46</v>
      </c>
    </row>
    <row r="37" spans="1:7" x14ac:dyDescent="0.3">
      <c r="B37" s="6" t="s">
        <v>74</v>
      </c>
      <c r="C37" s="6" t="s">
        <v>18</v>
      </c>
      <c r="D37" s="9">
        <v>39.999999999999993</v>
      </c>
      <c r="E37" s="6" t="s">
        <v>75</v>
      </c>
      <c r="F37" s="6" t="s">
        <v>76</v>
      </c>
      <c r="G37" s="9">
        <v>0</v>
      </c>
    </row>
    <row r="38" spans="1:7" x14ac:dyDescent="0.3">
      <c r="B38" s="6" t="s">
        <v>77</v>
      </c>
      <c r="C38" s="6" t="s">
        <v>18</v>
      </c>
      <c r="D38" s="9">
        <v>112.5000000000002</v>
      </c>
      <c r="E38" s="6" t="s">
        <v>78</v>
      </c>
      <c r="F38" s="6" t="s">
        <v>79</v>
      </c>
      <c r="G38" s="9">
        <v>2.500000000000199</v>
      </c>
    </row>
    <row r="39" spans="1:7" x14ac:dyDescent="0.3">
      <c r="B39" s="6" t="s">
        <v>80</v>
      </c>
      <c r="C39" s="6" t="s">
        <v>18</v>
      </c>
      <c r="D39" s="9">
        <v>130</v>
      </c>
      <c r="E39" s="6" t="s">
        <v>81</v>
      </c>
      <c r="F39" s="6" t="s">
        <v>79</v>
      </c>
      <c r="G39" s="9">
        <v>70</v>
      </c>
    </row>
    <row r="40" spans="1:7" x14ac:dyDescent="0.3">
      <c r="B40" s="6" t="s">
        <v>82</v>
      </c>
      <c r="C40" s="6" t="s">
        <v>18</v>
      </c>
      <c r="D40" s="9">
        <v>1000.0000000000009</v>
      </c>
      <c r="E40" s="6" t="s">
        <v>83</v>
      </c>
      <c r="F40" s="6" t="s">
        <v>76</v>
      </c>
      <c r="G40" s="6">
        <v>0</v>
      </c>
    </row>
    <row r="41" spans="1:7" x14ac:dyDescent="0.3">
      <c r="B41" s="6" t="s">
        <v>84</v>
      </c>
      <c r="C41" s="6" t="s">
        <v>18</v>
      </c>
      <c r="D41" s="9">
        <v>999.99999999999989</v>
      </c>
      <c r="E41" s="6" t="s">
        <v>85</v>
      </c>
      <c r="F41" s="6" t="s">
        <v>76</v>
      </c>
      <c r="G41" s="6">
        <v>0</v>
      </c>
    </row>
    <row r="42" spans="1:7" x14ac:dyDescent="0.3">
      <c r="B42" s="6" t="s">
        <v>86</v>
      </c>
      <c r="C42" s="6" t="s">
        <v>18</v>
      </c>
      <c r="D42" s="9">
        <v>1000</v>
      </c>
      <c r="E42" s="6" t="s">
        <v>87</v>
      </c>
      <c r="F42" s="6" t="s">
        <v>76</v>
      </c>
      <c r="G42" s="6">
        <v>0</v>
      </c>
    </row>
    <row r="43" spans="1:7" x14ac:dyDescent="0.3">
      <c r="B43" s="6" t="s">
        <v>88</v>
      </c>
      <c r="C43" s="6" t="s">
        <v>18</v>
      </c>
      <c r="D43" s="9">
        <v>707.50000000000034</v>
      </c>
      <c r="E43" s="6" t="s">
        <v>89</v>
      </c>
      <c r="F43" s="6" t="s">
        <v>79</v>
      </c>
      <c r="G43" s="6">
        <v>292.49999999999966</v>
      </c>
    </row>
    <row r="44" spans="1:7" x14ac:dyDescent="0.3">
      <c r="B44" s="6" t="s">
        <v>90</v>
      </c>
      <c r="C44" s="6" t="s">
        <v>18</v>
      </c>
      <c r="D44" s="9">
        <v>1000</v>
      </c>
      <c r="E44" s="6" t="s">
        <v>91</v>
      </c>
      <c r="F44" s="6" t="s">
        <v>76</v>
      </c>
      <c r="G44" s="6">
        <v>0</v>
      </c>
    </row>
    <row r="45" spans="1:7" x14ac:dyDescent="0.3">
      <c r="B45" s="6" t="s">
        <v>92</v>
      </c>
      <c r="C45" s="6" t="s">
        <v>18</v>
      </c>
      <c r="D45" s="9">
        <v>0</v>
      </c>
      <c r="E45" s="6" t="s">
        <v>93</v>
      </c>
      <c r="F45" s="6" t="s">
        <v>79</v>
      </c>
      <c r="G45" s="6">
        <v>1000</v>
      </c>
    </row>
    <row r="46" spans="1:7" x14ac:dyDescent="0.3">
      <c r="B46" s="6" t="s">
        <v>94</v>
      </c>
      <c r="C46" s="6" t="s">
        <v>18</v>
      </c>
      <c r="D46" s="9">
        <v>1000</v>
      </c>
      <c r="E46" s="6" t="s">
        <v>95</v>
      </c>
      <c r="F46" s="6" t="s">
        <v>76</v>
      </c>
      <c r="G46" s="6">
        <v>0</v>
      </c>
    </row>
    <row r="47" spans="1:7" x14ac:dyDescent="0.3">
      <c r="B47" s="6" t="s">
        <v>96</v>
      </c>
      <c r="C47" s="6" t="s">
        <v>18</v>
      </c>
      <c r="D47" s="9">
        <v>444.44444444444463</v>
      </c>
      <c r="E47" s="6" t="s">
        <v>97</v>
      </c>
      <c r="F47" s="6" t="s">
        <v>79</v>
      </c>
      <c r="G47" s="6">
        <v>555.55555555555543</v>
      </c>
    </row>
    <row r="48" spans="1:7" x14ac:dyDescent="0.3">
      <c r="B48" s="6" t="s">
        <v>98</v>
      </c>
      <c r="C48" s="6" t="s">
        <v>18</v>
      </c>
      <c r="D48" s="9">
        <v>680.55555555555384</v>
      </c>
      <c r="E48" s="6" t="s">
        <v>99</v>
      </c>
      <c r="F48" s="6" t="s">
        <v>79</v>
      </c>
      <c r="G48" s="6">
        <v>319.44444444444616</v>
      </c>
    </row>
    <row r="49" spans="2:7" x14ac:dyDescent="0.3">
      <c r="B49" s="6" t="s">
        <v>100</v>
      </c>
      <c r="C49" s="6" t="s">
        <v>18</v>
      </c>
      <c r="D49" s="9">
        <v>24905.000000000011</v>
      </c>
      <c r="E49" s="6" t="s">
        <v>101</v>
      </c>
      <c r="F49" s="6" t="s">
        <v>79</v>
      </c>
      <c r="G49" s="6">
        <v>94.999999999989086</v>
      </c>
    </row>
    <row r="50" spans="2:7" x14ac:dyDescent="0.3">
      <c r="B50" s="6" t="s">
        <v>102</v>
      </c>
      <c r="C50" s="6" t="s">
        <v>18</v>
      </c>
      <c r="D50" s="9">
        <v>25000</v>
      </c>
      <c r="E50" s="6" t="s">
        <v>103</v>
      </c>
      <c r="F50" s="6" t="s">
        <v>76</v>
      </c>
      <c r="G50" s="6">
        <v>0</v>
      </c>
    </row>
    <row r="51" spans="2:7" x14ac:dyDescent="0.3">
      <c r="B51" s="6" t="s">
        <v>104</v>
      </c>
      <c r="C51" s="6" t="s">
        <v>18</v>
      </c>
      <c r="D51" s="9">
        <v>11805.555555555538</v>
      </c>
      <c r="E51" s="6" t="s">
        <v>105</v>
      </c>
      <c r="F51" s="6" t="s">
        <v>79</v>
      </c>
      <c r="G51" s="6">
        <v>13194.444444444462</v>
      </c>
    </row>
    <row r="52" spans="2:7" x14ac:dyDescent="0.3">
      <c r="B52" s="6" t="s">
        <v>106</v>
      </c>
      <c r="C52" s="6" t="s">
        <v>18</v>
      </c>
      <c r="D52" s="9">
        <v>1.0231815394945443E-12</v>
      </c>
      <c r="E52" s="6" t="s">
        <v>107</v>
      </c>
      <c r="F52" s="6" t="s">
        <v>76</v>
      </c>
      <c r="G52" s="6">
        <v>0</v>
      </c>
    </row>
    <row r="53" spans="2:7" x14ac:dyDescent="0.3">
      <c r="B53" s="6" t="s">
        <v>108</v>
      </c>
      <c r="C53" s="6" t="s">
        <v>18</v>
      </c>
      <c r="D53" s="9">
        <v>1.0231815394945443E-12</v>
      </c>
      <c r="E53" s="6" t="s">
        <v>109</v>
      </c>
      <c r="F53" s="6" t="s">
        <v>76</v>
      </c>
      <c r="G53" s="6">
        <v>0</v>
      </c>
    </row>
    <row r="54" spans="2:7" x14ac:dyDescent="0.3">
      <c r="B54" s="6" t="s">
        <v>110</v>
      </c>
      <c r="C54" s="6" t="s">
        <v>18</v>
      </c>
      <c r="D54" s="9">
        <v>1.5916157281026244E-12</v>
      </c>
      <c r="E54" s="6" t="s">
        <v>111</v>
      </c>
      <c r="F54" s="6" t="s">
        <v>76</v>
      </c>
      <c r="G54" s="6">
        <v>0</v>
      </c>
    </row>
    <row r="55" spans="2:7" x14ac:dyDescent="0.3">
      <c r="B55" s="6" t="s">
        <v>112</v>
      </c>
      <c r="C55" s="6" t="s">
        <v>18</v>
      </c>
      <c r="D55" s="9">
        <v>39.999999999999993</v>
      </c>
      <c r="E55" s="6" t="s">
        <v>113</v>
      </c>
      <c r="F55" s="6" t="s">
        <v>79</v>
      </c>
      <c r="G55" s="6">
        <v>210</v>
      </c>
    </row>
    <row r="56" spans="2:7" x14ac:dyDescent="0.3">
      <c r="B56" s="6" t="s">
        <v>114</v>
      </c>
      <c r="C56" s="6" t="s">
        <v>18</v>
      </c>
      <c r="D56" s="9">
        <v>112.5000000000002</v>
      </c>
      <c r="E56" s="6" t="s">
        <v>115</v>
      </c>
      <c r="F56" s="6" t="s">
        <v>79</v>
      </c>
      <c r="G56" s="6">
        <v>287.49999999999977</v>
      </c>
    </row>
    <row r="57" spans="2:7" ht="15" thickBot="1" x14ac:dyDescent="0.35">
      <c r="B57" s="4" t="s">
        <v>116</v>
      </c>
      <c r="C57" s="4" t="s">
        <v>18</v>
      </c>
      <c r="D57" s="8">
        <v>130</v>
      </c>
      <c r="E57" s="4" t="s">
        <v>117</v>
      </c>
      <c r="F57" s="4" t="s">
        <v>76</v>
      </c>
      <c r="G57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70A1-E36C-4E5E-A004-AA723D081159}">
  <dimension ref="A1:H45"/>
  <sheetViews>
    <sheetView showGridLines="0" topLeftCell="A22" workbookViewId="0"/>
  </sheetViews>
  <sheetFormatPr defaultRowHeight="14.4" x14ac:dyDescent="0.3"/>
  <cols>
    <col min="1" max="1" width="2.33203125" customWidth="1"/>
    <col min="2" max="2" width="6.33203125" bestFit="1" customWidth="1"/>
    <col min="3" max="3" width="18" bestFit="1" customWidth="1"/>
    <col min="4" max="4" width="12" bestFit="1" customWidth="1"/>
    <col min="5" max="5" width="12.6640625" bestFit="1" customWidth="1"/>
    <col min="6" max="6" width="10.109375" bestFit="1" customWidth="1"/>
    <col min="7" max="8" width="12" bestFit="1" customWidth="1"/>
  </cols>
  <sheetData>
    <row r="1" spans="1:8" x14ac:dyDescent="0.3">
      <c r="A1" s="3" t="s">
        <v>118</v>
      </c>
    </row>
    <row r="2" spans="1:8" x14ac:dyDescent="0.3">
      <c r="A2" s="3" t="s">
        <v>27</v>
      </c>
    </row>
    <row r="3" spans="1:8" x14ac:dyDescent="0.3">
      <c r="A3" s="3" t="s">
        <v>140</v>
      </c>
    </row>
    <row r="6" spans="1:8" ht="15" thickBot="1" x14ac:dyDescent="0.35">
      <c r="A6" t="s">
        <v>40</v>
      </c>
    </row>
    <row r="7" spans="1:8" x14ac:dyDescent="0.3">
      <c r="B7" s="10"/>
      <c r="C7" s="10"/>
      <c r="D7" s="10" t="s">
        <v>119</v>
      </c>
      <c r="E7" s="10" t="s">
        <v>121</v>
      </c>
      <c r="F7" s="10" t="s">
        <v>123</v>
      </c>
      <c r="G7" s="10" t="s">
        <v>125</v>
      </c>
      <c r="H7" s="10" t="s">
        <v>125</v>
      </c>
    </row>
    <row r="8" spans="1:8" ht="15" thickBot="1" x14ac:dyDescent="0.35">
      <c r="B8" s="11" t="s">
        <v>36</v>
      </c>
      <c r="C8" s="11" t="s">
        <v>37</v>
      </c>
      <c r="D8" s="11" t="s">
        <v>120</v>
      </c>
      <c r="E8" s="11" t="s">
        <v>122</v>
      </c>
      <c r="F8" s="11" t="s">
        <v>124</v>
      </c>
      <c r="G8" s="11" t="s">
        <v>126</v>
      </c>
      <c r="H8" s="11" t="s">
        <v>127</v>
      </c>
    </row>
    <row r="9" spans="1:8" x14ac:dyDescent="0.3">
      <c r="B9" s="6" t="s">
        <v>49</v>
      </c>
      <c r="C9" s="6" t="s">
        <v>50</v>
      </c>
      <c r="D9" s="6">
        <v>39.999999999999993</v>
      </c>
      <c r="E9" s="6">
        <v>0</v>
      </c>
      <c r="F9" s="6">
        <v>675</v>
      </c>
      <c r="G9" s="6">
        <v>306.6666666666664</v>
      </c>
      <c r="H9" s="6">
        <v>1E+30</v>
      </c>
    </row>
    <row r="10" spans="1:8" x14ac:dyDescent="0.3">
      <c r="B10" s="6" t="s">
        <v>52</v>
      </c>
      <c r="C10" s="6" t="s">
        <v>53</v>
      </c>
      <c r="D10" s="6">
        <v>112.5000000000002</v>
      </c>
      <c r="E10" s="6">
        <v>0</v>
      </c>
      <c r="F10" s="6">
        <v>450</v>
      </c>
      <c r="G10" s="6">
        <v>493.60000000000156</v>
      </c>
      <c r="H10" s="6">
        <v>147.1999999999999</v>
      </c>
    </row>
    <row r="11" spans="1:8" x14ac:dyDescent="0.3">
      <c r="B11" s="6" t="s">
        <v>54</v>
      </c>
      <c r="C11" s="6" t="s">
        <v>55</v>
      </c>
      <c r="D11" s="6">
        <v>130</v>
      </c>
      <c r="E11" s="6">
        <v>0</v>
      </c>
      <c r="F11" s="6">
        <v>500</v>
      </c>
      <c r="G11" s="6">
        <v>1E+30</v>
      </c>
      <c r="H11" s="6">
        <v>205.66666666666663</v>
      </c>
    </row>
    <row r="12" spans="1:8" x14ac:dyDescent="0.3">
      <c r="B12" s="6" t="s">
        <v>56</v>
      </c>
      <c r="C12" s="6" t="s">
        <v>57</v>
      </c>
      <c r="D12" s="6">
        <v>1000.0000000000009</v>
      </c>
      <c r="E12" s="6">
        <v>0</v>
      </c>
      <c r="F12" s="6">
        <v>-7</v>
      </c>
      <c r="G12" s="6">
        <v>1E+30</v>
      </c>
      <c r="H12" s="6">
        <v>20.666666666666647</v>
      </c>
    </row>
    <row r="13" spans="1:8" x14ac:dyDescent="0.3">
      <c r="B13" s="6" t="s">
        <v>58</v>
      </c>
      <c r="C13" s="6" t="s">
        <v>59</v>
      </c>
      <c r="D13" s="6">
        <v>999.99999999999989</v>
      </c>
      <c r="E13" s="6">
        <v>0</v>
      </c>
      <c r="F13" s="6">
        <v>-9</v>
      </c>
      <c r="G13" s="6">
        <v>1E+30</v>
      </c>
      <c r="H13" s="6">
        <v>17.666666666666643</v>
      </c>
    </row>
    <row r="14" spans="1:8" x14ac:dyDescent="0.3">
      <c r="B14" s="6" t="s">
        <v>60</v>
      </c>
      <c r="C14" s="6" t="s">
        <v>61</v>
      </c>
      <c r="D14" s="6">
        <v>1000</v>
      </c>
      <c r="E14" s="6">
        <v>0</v>
      </c>
      <c r="F14" s="6">
        <v>-5</v>
      </c>
      <c r="G14" s="6">
        <v>1E+30</v>
      </c>
      <c r="H14" s="6">
        <v>22.666666666666643</v>
      </c>
    </row>
    <row r="15" spans="1:8" x14ac:dyDescent="0.3">
      <c r="B15" s="6" t="s">
        <v>62</v>
      </c>
      <c r="C15" s="6" t="s">
        <v>63</v>
      </c>
      <c r="D15" s="6">
        <v>707.50000000000034</v>
      </c>
      <c r="E15" s="6">
        <v>0</v>
      </c>
      <c r="F15" s="6">
        <v>-14</v>
      </c>
      <c r="G15" s="6">
        <v>0.66666666666668073</v>
      </c>
      <c r="H15" s="6">
        <v>4.0000000000000018</v>
      </c>
    </row>
    <row r="16" spans="1:8" x14ac:dyDescent="0.3">
      <c r="B16" s="6" t="s">
        <v>64</v>
      </c>
      <c r="C16" s="6" t="s">
        <v>65</v>
      </c>
      <c r="D16" s="6">
        <v>1000</v>
      </c>
      <c r="E16" s="6">
        <v>0</v>
      </c>
      <c r="F16" s="6">
        <v>-12</v>
      </c>
      <c r="G16" s="6">
        <v>3.4527597143173766E+17</v>
      </c>
      <c r="H16" s="6">
        <v>0.66666666666668084</v>
      </c>
    </row>
    <row r="17" spans="1:8" x14ac:dyDescent="0.3">
      <c r="B17" s="6" t="s">
        <v>66</v>
      </c>
      <c r="C17" s="6" t="s">
        <v>67</v>
      </c>
      <c r="D17" s="6">
        <v>0</v>
      </c>
      <c r="E17" s="6">
        <v>-4</v>
      </c>
      <c r="F17" s="6">
        <v>-18</v>
      </c>
      <c r="G17" s="6">
        <v>4</v>
      </c>
      <c r="H17" s="6">
        <v>1E+30</v>
      </c>
    </row>
    <row r="18" spans="1:8" x14ac:dyDescent="0.3">
      <c r="B18" s="6" t="s">
        <v>68</v>
      </c>
      <c r="C18" s="6" t="s">
        <v>69</v>
      </c>
      <c r="D18" s="6">
        <v>1000</v>
      </c>
      <c r="E18" s="6">
        <v>0</v>
      </c>
      <c r="F18" s="6">
        <v>-8</v>
      </c>
      <c r="G18" s="6">
        <v>1E+30</v>
      </c>
      <c r="H18" s="6">
        <v>1.9999999999999998</v>
      </c>
    </row>
    <row r="19" spans="1:8" x14ac:dyDescent="0.3">
      <c r="B19" s="6" t="s">
        <v>70</v>
      </c>
      <c r="C19" s="6" t="s">
        <v>71</v>
      </c>
      <c r="D19" s="6">
        <v>444.44444444444463</v>
      </c>
      <c r="E19" s="6">
        <v>0</v>
      </c>
      <c r="F19" s="6">
        <v>-9</v>
      </c>
      <c r="G19" s="6">
        <v>0.5000000000000101</v>
      </c>
      <c r="H19" s="6">
        <v>0.99999999999998834</v>
      </c>
    </row>
    <row r="20" spans="1:8" ht="15" thickBot="1" x14ac:dyDescent="0.35">
      <c r="B20" s="4" t="s">
        <v>72</v>
      </c>
      <c r="C20" s="4" t="s">
        <v>73</v>
      </c>
      <c r="D20" s="4">
        <v>680.55555555555384</v>
      </c>
      <c r="E20" s="4">
        <v>0</v>
      </c>
      <c r="F20" s="4">
        <v>-10</v>
      </c>
      <c r="G20" s="4">
        <v>0.99999999999998945</v>
      </c>
      <c r="H20" s="4">
        <v>0.50000000000001099</v>
      </c>
    </row>
    <row r="22" spans="1:8" ht="15" thickBot="1" x14ac:dyDescent="0.35">
      <c r="A22" t="s">
        <v>42</v>
      </c>
    </row>
    <row r="23" spans="1:8" x14ac:dyDescent="0.3">
      <c r="B23" s="10"/>
      <c r="C23" s="10"/>
      <c r="D23" s="10" t="s">
        <v>119</v>
      </c>
      <c r="E23" s="10" t="s">
        <v>128</v>
      </c>
      <c r="F23" s="10" t="s">
        <v>130</v>
      </c>
      <c r="G23" s="10" t="s">
        <v>125</v>
      </c>
      <c r="H23" s="10" t="s">
        <v>125</v>
      </c>
    </row>
    <row r="24" spans="1:8" ht="15" thickBot="1" x14ac:dyDescent="0.35">
      <c r="B24" s="11" t="s">
        <v>36</v>
      </c>
      <c r="C24" s="11" t="s">
        <v>37</v>
      </c>
      <c r="D24" s="11" t="s">
        <v>120</v>
      </c>
      <c r="E24" s="11" t="s">
        <v>129</v>
      </c>
      <c r="F24" s="11" t="s">
        <v>131</v>
      </c>
      <c r="G24" s="11" t="s">
        <v>126</v>
      </c>
      <c r="H24" s="11" t="s">
        <v>127</v>
      </c>
    </row>
    <row r="25" spans="1:8" x14ac:dyDescent="0.3">
      <c r="B25" s="6" t="s">
        <v>74</v>
      </c>
      <c r="C25" s="6" t="s">
        <v>18</v>
      </c>
      <c r="D25" s="6">
        <v>39.999999999999993</v>
      </c>
      <c r="E25" s="6">
        <v>-306.66666666666634</v>
      </c>
      <c r="F25" s="6">
        <v>40</v>
      </c>
      <c r="G25" s="6">
        <v>1.2000000000000952</v>
      </c>
      <c r="H25" s="6">
        <v>1.4805194805196253</v>
      </c>
    </row>
    <row r="26" spans="1:8" x14ac:dyDescent="0.3">
      <c r="B26" s="6" t="s">
        <v>77</v>
      </c>
      <c r="C26" s="6" t="s">
        <v>18</v>
      </c>
      <c r="D26" s="6">
        <v>112.5000000000002</v>
      </c>
      <c r="E26" s="6">
        <v>0</v>
      </c>
      <c r="F26" s="6">
        <v>110</v>
      </c>
      <c r="G26" s="6">
        <v>2.5000000000001976</v>
      </c>
      <c r="H26" s="6">
        <v>1E+30</v>
      </c>
    </row>
    <row r="27" spans="1:8" x14ac:dyDescent="0.3">
      <c r="B27" s="6" t="s">
        <v>80</v>
      </c>
      <c r="C27" s="6" t="s">
        <v>18</v>
      </c>
      <c r="D27" s="6">
        <v>130</v>
      </c>
      <c r="E27" s="6">
        <v>0</v>
      </c>
      <c r="F27" s="6">
        <v>60</v>
      </c>
      <c r="G27" s="6">
        <v>70</v>
      </c>
      <c r="H27" s="6">
        <v>1E+30</v>
      </c>
    </row>
    <row r="28" spans="1:8" x14ac:dyDescent="0.3">
      <c r="B28" s="6" t="s">
        <v>82</v>
      </c>
      <c r="C28" s="6" t="s">
        <v>18</v>
      </c>
      <c r="D28" s="6">
        <v>1000.0000000000009</v>
      </c>
      <c r="E28" s="6">
        <v>20.666666666666643</v>
      </c>
      <c r="F28" s="6">
        <v>1000</v>
      </c>
      <c r="G28" s="6">
        <v>6.2637362637368899</v>
      </c>
      <c r="H28" s="6">
        <v>30.000000000002384</v>
      </c>
    </row>
    <row r="29" spans="1:8" x14ac:dyDescent="0.3">
      <c r="B29" s="6" t="s">
        <v>84</v>
      </c>
      <c r="C29" s="6" t="s">
        <v>18</v>
      </c>
      <c r="D29" s="6">
        <v>999.99999999999989</v>
      </c>
      <c r="E29" s="6">
        <v>17.666666666666647</v>
      </c>
      <c r="F29" s="6">
        <v>1000</v>
      </c>
      <c r="G29" s="6">
        <v>11.632653061225652</v>
      </c>
      <c r="H29" s="6">
        <v>30.000000000002377</v>
      </c>
    </row>
    <row r="30" spans="1:8" x14ac:dyDescent="0.3">
      <c r="B30" s="6" t="s">
        <v>86</v>
      </c>
      <c r="C30" s="6" t="s">
        <v>18</v>
      </c>
      <c r="D30" s="6">
        <v>1000</v>
      </c>
      <c r="E30" s="6">
        <v>22.666666666666643</v>
      </c>
      <c r="F30" s="6">
        <v>1000</v>
      </c>
      <c r="G30" s="6">
        <v>11.632653061225655</v>
      </c>
      <c r="H30" s="6">
        <v>30.000000000002384</v>
      </c>
    </row>
    <row r="31" spans="1:8" x14ac:dyDescent="0.3">
      <c r="B31" s="6" t="s">
        <v>88</v>
      </c>
      <c r="C31" s="6" t="s">
        <v>18</v>
      </c>
      <c r="D31" s="6">
        <v>707.50000000000034</v>
      </c>
      <c r="E31" s="6">
        <v>0</v>
      </c>
      <c r="F31" s="6">
        <v>1000</v>
      </c>
      <c r="G31" s="6">
        <v>1E+30</v>
      </c>
      <c r="H31" s="6">
        <v>292.49999999999966</v>
      </c>
    </row>
    <row r="32" spans="1:8" x14ac:dyDescent="0.3">
      <c r="B32" s="6" t="s">
        <v>90</v>
      </c>
      <c r="C32" s="6" t="s">
        <v>18</v>
      </c>
      <c r="D32" s="6">
        <v>1000</v>
      </c>
      <c r="E32" s="6">
        <v>0.66666666666668084</v>
      </c>
      <c r="F32" s="6">
        <v>1000</v>
      </c>
      <c r="G32" s="6">
        <v>239.58333333333468</v>
      </c>
      <c r="H32" s="6">
        <v>6.7857142857149597</v>
      </c>
    </row>
    <row r="33" spans="2:8" x14ac:dyDescent="0.3">
      <c r="B33" s="6" t="s">
        <v>92</v>
      </c>
      <c r="C33" s="6" t="s">
        <v>18</v>
      </c>
      <c r="D33" s="6">
        <v>0</v>
      </c>
      <c r="E33" s="6">
        <v>0</v>
      </c>
      <c r="F33" s="6">
        <v>1000</v>
      </c>
      <c r="G33" s="6">
        <v>1E+30</v>
      </c>
      <c r="H33" s="6">
        <v>1000</v>
      </c>
    </row>
    <row r="34" spans="2:8" x14ac:dyDescent="0.3">
      <c r="B34" s="6" t="s">
        <v>94</v>
      </c>
      <c r="C34" s="6" t="s">
        <v>18</v>
      </c>
      <c r="D34" s="6">
        <v>1000</v>
      </c>
      <c r="E34" s="6">
        <v>1.9999999999999998</v>
      </c>
      <c r="F34" s="6">
        <v>1000</v>
      </c>
      <c r="G34" s="6">
        <v>11.875000000001178</v>
      </c>
      <c r="H34" s="6">
        <v>319.44444444444605</v>
      </c>
    </row>
    <row r="35" spans="2:8" x14ac:dyDescent="0.3">
      <c r="B35" s="6" t="s">
        <v>96</v>
      </c>
      <c r="C35" s="6" t="s">
        <v>18</v>
      </c>
      <c r="D35" s="6">
        <v>444.44444444444463</v>
      </c>
      <c r="E35" s="6">
        <v>0</v>
      </c>
      <c r="F35" s="6">
        <v>1000</v>
      </c>
      <c r="G35" s="6">
        <v>1E+30</v>
      </c>
      <c r="H35" s="6">
        <v>555.55555555555509</v>
      </c>
    </row>
    <row r="36" spans="2:8" x14ac:dyDescent="0.3">
      <c r="B36" s="6" t="s">
        <v>98</v>
      </c>
      <c r="C36" s="6" t="s">
        <v>18</v>
      </c>
      <c r="D36" s="6">
        <v>680.55555555555384</v>
      </c>
      <c r="E36" s="6">
        <v>0</v>
      </c>
      <c r="F36" s="6">
        <v>1000</v>
      </c>
      <c r="G36" s="6">
        <v>1E+30</v>
      </c>
      <c r="H36" s="6">
        <v>319.44444444444599</v>
      </c>
    </row>
    <row r="37" spans="2:8" x14ac:dyDescent="0.3">
      <c r="B37" s="6" t="s">
        <v>100</v>
      </c>
      <c r="C37" s="6" t="s">
        <v>18</v>
      </c>
      <c r="D37" s="6">
        <v>24905.000000000011</v>
      </c>
      <c r="E37" s="6">
        <v>0</v>
      </c>
      <c r="F37" s="6">
        <v>25000</v>
      </c>
      <c r="G37" s="6">
        <v>1E+30</v>
      </c>
      <c r="H37" s="6">
        <v>95.000000000009464</v>
      </c>
    </row>
    <row r="38" spans="2:8" x14ac:dyDescent="0.3">
      <c r="B38" s="6" t="s">
        <v>102</v>
      </c>
      <c r="C38" s="6" t="s">
        <v>18</v>
      </c>
      <c r="D38" s="6">
        <v>25000</v>
      </c>
      <c r="E38" s="6">
        <v>0.11111111111110983</v>
      </c>
      <c r="F38" s="6">
        <v>25000</v>
      </c>
      <c r="G38" s="6">
        <v>4999.9999999999964</v>
      </c>
      <c r="H38" s="6">
        <v>2875.000000000015</v>
      </c>
    </row>
    <row r="39" spans="2:8" x14ac:dyDescent="0.3">
      <c r="B39" s="6" t="s">
        <v>104</v>
      </c>
      <c r="C39" s="6" t="s">
        <v>18</v>
      </c>
      <c r="D39" s="6">
        <v>11805.555555555538</v>
      </c>
      <c r="E39" s="6">
        <v>0</v>
      </c>
      <c r="F39" s="6">
        <v>25000</v>
      </c>
      <c r="G39" s="6">
        <v>1E+30</v>
      </c>
      <c r="H39" s="6">
        <v>13194.444444444462</v>
      </c>
    </row>
    <row r="40" spans="2:8" x14ac:dyDescent="0.3">
      <c r="B40" s="6" t="s">
        <v>106</v>
      </c>
      <c r="C40" s="6" t="s">
        <v>18</v>
      </c>
      <c r="D40" s="6">
        <v>1.0231815394945443E-12</v>
      </c>
      <c r="E40" s="6">
        <v>27.666666666666643</v>
      </c>
      <c r="F40" s="6">
        <v>0</v>
      </c>
      <c r="G40" s="6">
        <v>11.632653061225655</v>
      </c>
      <c r="H40" s="6">
        <v>30.000000000002384</v>
      </c>
    </row>
    <row r="41" spans="2:8" x14ac:dyDescent="0.3">
      <c r="B41" s="6" t="s">
        <v>108</v>
      </c>
      <c r="C41" s="6" t="s">
        <v>18</v>
      </c>
      <c r="D41" s="6">
        <v>1.0231815394945443E-12</v>
      </c>
      <c r="E41" s="6">
        <v>14</v>
      </c>
      <c r="F41" s="6">
        <v>0</v>
      </c>
      <c r="G41" s="6">
        <v>707.50000000000045</v>
      </c>
      <c r="H41" s="6">
        <v>6.7857142857149633</v>
      </c>
    </row>
    <row r="42" spans="2:8" x14ac:dyDescent="0.3">
      <c r="B42" s="6" t="s">
        <v>110</v>
      </c>
      <c r="C42" s="6" t="s">
        <v>18</v>
      </c>
      <c r="D42" s="6">
        <v>1.5916157281026244E-12</v>
      </c>
      <c r="E42" s="6">
        <v>10</v>
      </c>
      <c r="F42" s="6">
        <v>0</v>
      </c>
      <c r="G42" s="6">
        <v>680.55555555555418</v>
      </c>
      <c r="H42" s="6">
        <v>319.44444444444611</v>
      </c>
    </row>
    <row r="43" spans="2:8" x14ac:dyDescent="0.3">
      <c r="B43" s="6" t="s">
        <v>112</v>
      </c>
      <c r="C43" s="6" t="s">
        <v>18</v>
      </c>
      <c r="D43" s="6">
        <v>39.999999999999993</v>
      </c>
      <c r="E43" s="6">
        <v>0</v>
      </c>
      <c r="F43" s="6">
        <v>250</v>
      </c>
      <c r="G43" s="6">
        <v>1E+30</v>
      </c>
      <c r="H43" s="6">
        <v>210</v>
      </c>
    </row>
    <row r="44" spans="2:8" x14ac:dyDescent="0.3">
      <c r="B44" s="6" t="s">
        <v>114</v>
      </c>
      <c r="C44" s="6" t="s">
        <v>18</v>
      </c>
      <c r="D44" s="6">
        <v>112.5000000000002</v>
      </c>
      <c r="E44" s="6">
        <v>0</v>
      </c>
      <c r="F44" s="6">
        <v>400</v>
      </c>
      <c r="G44" s="6">
        <v>1E+30</v>
      </c>
      <c r="H44" s="6">
        <v>287.49999999999977</v>
      </c>
    </row>
    <row r="45" spans="2:8" ht="15" thickBot="1" x14ac:dyDescent="0.35">
      <c r="B45" s="4" t="s">
        <v>116</v>
      </c>
      <c r="C45" s="4" t="s">
        <v>18</v>
      </c>
      <c r="D45" s="4">
        <v>130</v>
      </c>
      <c r="E45" s="4">
        <v>205.66666666666663</v>
      </c>
      <c r="F45" s="4">
        <v>130</v>
      </c>
      <c r="G45" s="4">
        <v>6.0000000000004938</v>
      </c>
      <c r="H45" s="4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BB61-258C-4EC7-96DF-659AA2455109}">
  <dimension ref="A1:J24"/>
  <sheetViews>
    <sheetView showGridLines="0" workbookViewId="0"/>
  </sheetViews>
  <sheetFormatPr defaultRowHeight="14.4" x14ac:dyDescent="0.3"/>
  <cols>
    <col min="1" max="1" width="2.33203125" customWidth="1"/>
    <col min="2" max="2" width="5.44140625" bestFit="1" customWidth="1"/>
    <col min="3" max="3" width="18" bestFit="1" customWidth="1"/>
    <col min="4" max="4" width="12" bestFit="1" customWidth="1"/>
    <col min="5" max="5" width="2.33203125" customWidth="1"/>
    <col min="6" max="7" width="12" bestFit="1" customWidth="1"/>
    <col min="8" max="8" width="2.33203125" customWidth="1"/>
    <col min="9" max="10" width="12" bestFit="1" customWidth="1"/>
  </cols>
  <sheetData>
    <row r="1" spans="1:10" x14ac:dyDescent="0.3">
      <c r="A1" s="3" t="s">
        <v>132</v>
      </c>
    </row>
    <row r="2" spans="1:10" x14ac:dyDescent="0.3">
      <c r="A2" s="3" t="s">
        <v>27</v>
      </c>
    </row>
    <row r="3" spans="1:10" x14ac:dyDescent="0.3">
      <c r="A3" s="3" t="s">
        <v>140</v>
      </c>
    </row>
    <row r="5" spans="1:10" ht="15" thickBot="1" x14ac:dyDescent="0.35"/>
    <row r="6" spans="1:10" x14ac:dyDescent="0.3">
      <c r="B6" s="10"/>
      <c r="C6" s="10" t="s">
        <v>123</v>
      </c>
      <c r="D6" s="10"/>
    </row>
    <row r="7" spans="1:10" ht="15" thickBot="1" x14ac:dyDescent="0.35">
      <c r="B7" s="11" t="s">
        <v>36</v>
      </c>
      <c r="C7" s="11" t="s">
        <v>37</v>
      </c>
      <c r="D7" s="11" t="s">
        <v>120</v>
      </c>
    </row>
    <row r="8" spans="1:10" ht="15" thickBot="1" x14ac:dyDescent="0.35">
      <c r="B8" s="4" t="s">
        <v>47</v>
      </c>
      <c r="C8" s="7" t="s">
        <v>48</v>
      </c>
      <c r="D8" s="8">
        <v>80914.444444444554</v>
      </c>
    </row>
    <row r="10" spans="1:10" ht="15" thickBot="1" x14ac:dyDescent="0.35"/>
    <row r="11" spans="1:10" x14ac:dyDescent="0.3">
      <c r="B11" s="10"/>
      <c r="C11" s="10" t="s">
        <v>133</v>
      </c>
      <c r="D11" s="10"/>
      <c r="F11" s="10" t="s">
        <v>134</v>
      </c>
      <c r="G11" s="10" t="s">
        <v>123</v>
      </c>
      <c r="I11" s="10" t="s">
        <v>137</v>
      </c>
      <c r="J11" s="10" t="s">
        <v>123</v>
      </c>
    </row>
    <row r="12" spans="1:10" ht="15" thickBot="1" x14ac:dyDescent="0.35">
      <c r="B12" s="11" t="s">
        <v>36</v>
      </c>
      <c r="C12" s="11" t="s">
        <v>37</v>
      </c>
      <c r="D12" s="11" t="s">
        <v>120</v>
      </c>
      <c r="F12" s="11" t="s">
        <v>135</v>
      </c>
      <c r="G12" s="11" t="s">
        <v>136</v>
      </c>
      <c r="I12" s="11" t="s">
        <v>135</v>
      </c>
      <c r="J12" s="11" t="s">
        <v>136</v>
      </c>
    </row>
    <row r="13" spans="1:10" x14ac:dyDescent="0.3">
      <c r="B13" s="6" t="s">
        <v>49</v>
      </c>
      <c r="C13" s="6" t="s">
        <v>50</v>
      </c>
      <c r="D13" s="9">
        <v>39.999999999999993</v>
      </c>
      <c r="F13" s="9">
        <v>39.999999999999865</v>
      </c>
      <c r="G13" s="9">
        <v>80914.444444444467</v>
      </c>
      <c r="I13" s="9">
        <v>39.999999999999865</v>
      </c>
      <c r="J13" s="9">
        <v>80914.444444444467</v>
      </c>
    </row>
    <row r="14" spans="1:10" x14ac:dyDescent="0.3">
      <c r="B14" s="6" t="s">
        <v>52</v>
      </c>
      <c r="C14" s="6" t="s">
        <v>53</v>
      </c>
      <c r="D14" s="9">
        <v>112.5000000000002</v>
      </c>
      <c r="F14" s="9">
        <v>112.49999999999923</v>
      </c>
      <c r="G14" s="9">
        <v>80914.444444444118</v>
      </c>
      <c r="I14" s="9">
        <v>112.49999999999923</v>
      </c>
      <c r="J14" s="9">
        <v>80914.444444444118</v>
      </c>
    </row>
    <row r="15" spans="1:10" x14ac:dyDescent="0.3">
      <c r="B15" s="6" t="s">
        <v>54</v>
      </c>
      <c r="C15" s="6" t="s">
        <v>55</v>
      </c>
      <c r="D15" s="9">
        <v>130</v>
      </c>
      <c r="F15" s="9">
        <v>129.99999999999974</v>
      </c>
      <c r="G15" s="9">
        <v>80914.444444444409</v>
      </c>
      <c r="I15" s="9">
        <v>129.99999999999974</v>
      </c>
      <c r="J15" s="9">
        <v>80914.444444444409</v>
      </c>
    </row>
    <row r="16" spans="1:10" x14ac:dyDescent="0.3">
      <c r="B16" s="6" t="s">
        <v>56</v>
      </c>
      <c r="C16" s="6" t="s">
        <v>57</v>
      </c>
      <c r="D16" s="9">
        <v>1000.0000000000009</v>
      </c>
      <c r="F16" s="9">
        <v>1000.0000000000018</v>
      </c>
      <c r="G16" s="9">
        <v>80914.444444444554</v>
      </c>
      <c r="I16" s="9">
        <v>1000.0000000000018</v>
      </c>
      <c r="J16" s="9">
        <v>80914.444444444554</v>
      </c>
    </row>
    <row r="17" spans="2:10" x14ac:dyDescent="0.3">
      <c r="B17" s="6" t="s">
        <v>58</v>
      </c>
      <c r="C17" s="6" t="s">
        <v>59</v>
      </c>
      <c r="D17" s="9">
        <v>999.99999999999989</v>
      </c>
      <c r="F17" s="9">
        <v>1000.0000000000009</v>
      </c>
      <c r="G17" s="9">
        <v>80914.444444444554</v>
      </c>
      <c r="I17" s="9">
        <v>1000.0000000000009</v>
      </c>
      <c r="J17" s="9">
        <v>80914.444444444554</v>
      </c>
    </row>
    <row r="18" spans="2:10" x14ac:dyDescent="0.3">
      <c r="B18" s="6" t="s">
        <v>60</v>
      </c>
      <c r="C18" s="6" t="s">
        <v>61</v>
      </c>
      <c r="D18" s="9">
        <v>1000</v>
      </c>
      <c r="F18" s="9">
        <v>1000.000000000001</v>
      </c>
      <c r="G18" s="9">
        <v>80914.444444444554</v>
      </c>
      <c r="I18" s="9">
        <v>1000.000000000001</v>
      </c>
      <c r="J18" s="9">
        <v>80914.444444444554</v>
      </c>
    </row>
    <row r="19" spans="2:10" x14ac:dyDescent="0.3">
      <c r="B19" s="6" t="s">
        <v>62</v>
      </c>
      <c r="C19" s="6" t="s">
        <v>63</v>
      </c>
      <c r="D19" s="9">
        <v>707.50000000000034</v>
      </c>
      <c r="F19" s="9">
        <v>707.50000000000136</v>
      </c>
      <c r="G19" s="9">
        <v>80914.44444444454</v>
      </c>
      <c r="I19" s="9">
        <v>707.50000000000136</v>
      </c>
      <c r="J19" s="9">
        <v>80914.44444444454</v>
      </c>
    </row>
    <row r="20" spans="2:10" x14ac:dyDescent="0.3">
      <c r="B20" s="6" t="s">
        <v>64</v>
      </c>
      <c r="C20" s="6" t="s">
        <v>65</v>
      </c>
      <c r="D20" s="9">
        <v>1000</v>
      </c>
      <c r="F20" s="9">
        <v>1000.000000000001</v>
      </c>
      <c r="G20" s="9">
        <v>80914.44444444454</v>
      </c>
      <c r="I20" s="9">
        <v>1000.000000000001</v>
      </c>
      <c r="J20" s="9">
        <v>80914.44444444454</v>
      </c>
    </row>
    <row r="21" spans="2:10" x14ac:dyDescent="0.3">
      <c r="B21" s="6" t="s">
        <v>66</v>
      </c>
      <c r="C21" s="6" t="s">
        <v>67</v>
      </c>
      <c r="D21" s="9">
        <v>0</v>
      </c>
      <c r="F21" s="9">
        <v>1.0231815394945443E-12</v>
      </c>
      <c r="G21" s="9">
        <v>80914.44444444454</v>
      </c>
      <c r="I21" s="9">
        <v>1.0231815394945443E-12</v>
      </c>
      <c r="J21" s="9">
        <v>80914.44444444454</v>
      </c>
    </row>
    <row r="22" spans="2:10" x14ac:dyDescent="0.3">
      <c r="B22" s="6" t="s">
        <v>68</v>
      </c>
      <c r="C22" s="6" t="s">
        <v>69</v>
      </c>
      <c r="D22" s="9">
        <v>1000</v>
      </c>
      <c r="F22" s="9">
        <v>1000.0000000000016</v>
      </c>
      <c r="G22" s="9">
        <v>80914.44444444454</v>
      </c>
      <c r="I22" s="9">
        <v>1000.0000000000016</v>
      </c>
      <c r="J22" s="9">
        <v>80914.44444444454</v>
      </c>
    </row>
    <row r="23" spans="2:10" x14ac:dyDescent="0.3">
      <c r="B23" s="6" t="s">
        <v>70</v>
      </c>
      <c r="C23" s="6" t="s">
        <v>71</v>
      </c>
      <c r="D23" s="9">
        <v>444.44444444444463</v>
      </c>
      <c r="F23" s="9">
        <v>444.44444444444616</v>
      </c>
      <c r="G23" s="9">
        <v>80914.44444444454</v>
      </c>
      <c r="I23" s="9">
        <v>444.44444444444616</v>
      </c>
      <c r="J23" s="9">
        <v>80914.44444444454</v>
      </c>
    </row>
    <row r="24" spans="2:10" ht="15" thickBot="1" x14ac:dyDescent="0.35">
      <c r="B24" s="4" t="s">
        <v>72</v>
      </c>
      <c r="C24" s="4" t="s">
        <v>73</v>
      </c>
      <c r="D24" s="8">
        <v>680.55555555555384</v>
      </c>
      <c r="F24" s="8">
        <v>680.55555555555543</v>
      </c>
      <c r="G24" s="8">
        <v>80914.444444444525</v>
      </c>
      <c r="I24" s="8">
        <v>680.55555555555543</v>
      </c>
      <c r="J24" s="8">
        <v>80914.444444444525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0D07-0703-4749-808D-D9EB9E635F73}">
  <dimension ref="A1:Q26"/>
  <sheetViews>
    <sheetView tabSelected="1" zoomScale="81" workbookViewId="0">
      <selection activeCell="F24" sqref="F24"/>
    </sheetView>
  </sheetViews>
  <sheetFormatPr defaultRowHeight="14.4" x14ac:dyDescent="0.3"/>
  <cols>
    <col min="1" max="1" width="26.88671875" bestFit="1" customWidth="1"/>
    <col min="3" max="14" width="8.88671875" bestFit="1" customWidth="1"/>
    <col min="15" max="15" width="12.44140625" bestFit="1" customWidth="1"/>
    <col min="17" max="17" width="8.88671875" bestFit="1" customWidth="1"/>
  </cols>
  <sheetData>
    <row r="1" spans="1:17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t="s">
        <v>13</v>
      </c>
    </row>
    <row r="2" spans="1:17" x14ac:dyDescent="0.3">
      <c r="A2" t="s">
        <v>14</v>
      </c>
      <c r="C2">
        <v>675</v>
      </c>
      <c r="D2">
        <v>450</v>
      </c>
      <c r="E2">
        <v>500</v>
      </c>
      <c r="F2">
        <v>-7</v>
      </c>
      <c r="G2">
        <v>-9</v>
      </c>
      <c r="H2">
        <v>-5</v>
      </c>
      <c r="I2">
        <v>-14</v>
      </c>
      <c r="J2">
        <v>-12</v>
      </c>
      <c r="K2">
        <v>-18</v>
      </c>
      <c r="L2">
        <v>-8</v>
      </c>
      <c r="M2">
        <v>-9</v>
      </c>
      <c r="N2">
        <v>-10</v>
      </c>
    </row>
    <row r="4" spans="1:17" x14ac:dyDescent="0.3">
      <c r="A4" t="s">
        <v>15</v>
      </c>
      <c r="C4" s="1">
        <v>39.999999999999993</v>
      </c>
      <c r="D4" s="1">
        <v>112.5000000000002</v>
      </c>
      <c r="E4" s="1">
        <v>130</v>
      </c>
      <c r="F4" s="1">
        <v>1000.0000000000009</v>
      </c>
      <c r="G4" s="1">
        <v>999.99999999999989</v>
      </c>
      <c r="H4" s="1">
        <v>1000</v>
      </c>
      <c r="I4" s="1">
        <v>707.50000000000034</v>
      </c>
      <c r="J4" s="1">
        <v>1000</v>
      </c>
      <c r="K4" s="1">
        <v>0</v>
      </c>
      <c r="L4" s="1">
        <v>1000</v>
      </c>
      <c r="M4" s="1">
        <v>444.44444444444463</v>
      </c>
      <c r="N4" s="1">
        <v>680.55555555555384</v>
      </c>
      <c r="P4" t="s">
        <v>16</v>
      </c>
      <c r="Q4" s="2">
        <f>SUMPRODUCT(C2:N2,C4:N4)</f>
        <v>80914.444444444554</v>
      </c>
    </row>
    <row r="5" spans="1:17" x14ac:dyDescent="0.3">
      <c r="A5" t="s">
        <v>17</v>
      </c>
      <c r="O5" t="s">
        <v>18</v>
      </c>
      <c r="Q5" t="s">
        <v>19</v>
      </c>
    </row>
    <row r="6" spans="1:17" x14ac:dyDescent="0.3">
      <c r="C6">
        <v>25</v>
      </c>
      <c r="D6">
        <v>12</v>
      </c>
      <c r="E6">
        <v>5</v>
      </c>
      <c r="F6">
        <v>-1</v>
      </c>
      <c r="G6">
        <v>-1</v>
      </c>
      <c r="H6">
        <v>-1</v>
      </c>
      <c r="O6">
        <f>SUMPRODUCT($C$4:$N$4,C6:N6)</f>
        <v>1.0231815394945443E-12</v>
      </c>
      <c r="P6" t="s">
        <v>16</v>
      </c>
      <c r="Q6">
        <v>0</v>
      </c>
    </row>
    <row r="7" spans="1:17" x14ac:dyDescent="0.3">
      <c r="C7">
        <v>10</v>
      </c>
      <c r="D7">
        <v>7</v>
      </c>
      <c r="E7">
        <v>4</v>
      </c>
      <c r="I7">
        <v>-1</v>
      </c>
      <c r="J7">
        <v>-1</v>
      </c>
      <c r="K7">
        <v>-1</v>
      </c>
      <c r="O7">
        <f>SUMPRODUCT($C$4:$N$4,C7:N7)</f>
        <v>1.0231815394945443E-12</v>
      </c>
      <c r="P7" t="s">
        <v>16</v>
      </c>
      <c r="Q7">
        <v>0</v>
      </c>
    </row>
    <row r="8" spans="1:17" x14ac:dyDescent="0.3">
      <c r="C8">
        <v>15</v>
      </c>
      <c r="D8">
        <v>2</v>
      </c>
      <c r="E8">
        <v>10</v>
      </c>
      <c r="L8">
        <v>-1</v>
      </c>
      <c r="M8">
        <v>-1</v>
      </c>
      <c r="N8">
        <v>-1</v>
      </c>
      <c r="O8">
        <f t="shared" ref="O8:O23" si="0">SUMPRODUCT($C$4:$N$4,C8:N8)</f>
        <v>1.5916157281026244E-12</v>
      </c>
      <c r="P8" t="s">
        <v>16</v>
      </c>
      <c r="Q8">
        <v>0</v>
      </c>
    </row>
    <row r="9" spans="1:17" x14ac:dyDescent="0.3">
      <c r="C9">
        <v>1</v>
      </c>
      <c r="O9">
        <f t="shared" si="0"/>
        <v>39.999999999999993</v>
      </c>
      <c r="P9" t="s">
        <v>20</v>
      </c>
      <c r="Q9">
        <v>250</v>
      </c>
    </row>
    <row r="10" spans="1:17" x14ac:dyDescent="0.3">
      <c r="D10">
        <v>1</v>
      </c>
      <c r="O10">
        <f t="shared" si="0"/>
        <v>112.5000000000002</v>
      </c>
      <c r="P10" t="s">
        <v>20</v>
      </c>
      <c r="Q10">
        <v>400</v>
      </c>
    </row>
    <row r="11" spans="1:17" x14ac:dyDescent="0.3">
      <c r="E11">
        <v>1</v>
      </c>
      <c r="O11">
        <f t="shared" si="0"/>
        <v>130</v>
      </c>
      <c r="P11" t="s">
        <v>20</v>
      </c>
      <c r="Q11">
        <v>130</v>
      </c>
    </row>
    <row r="12" spans="1:17" x14ac:dyDescent="0.3">
      <c r="C12">
        <v>1</v>
      </c>
      <c r="O12">
        <f t="shared" si="0"/>
        <v>39.999999999999993</v>
      </c>
      <c r="P12" t="s">
        <v>21</v>
      </c>
      <c r="Q12">
        <v>40</v>
      </c>
    </row>
    <row r="13" spans="1:17" x14ac:dyDescent="0.3">
      <c r="D13">
        <v>1</v>
      </c>
      <c r="O13">
        <f t="shared" si="0"/>
        <v>112.5000000000002</v>
      </c>
      <c r="P13" t="s">
        <v>21</v>
      </c>
      <c r="Q13">
        <v>110</v>
      </c>
    </row>
    <row r="14" spans="1:17" x14ac:dyDescent="0.3">
      <c r="E14">
        <v>1</v>
      </c>
      <c r="O14">
        <f t="shared" si="0"/>
        <v>130</v>
      </c>
      <c r="P14" t="s">
        <v>21</v>
      </c>
      <c r="Q14">
        <v>60</v>
      </c>
    </row>
    <row r="15" spans="1:17" x14ac:dyDescent="0.3">
      <c r="F15">
        <v>1</v>
      </c>
      <c r="O15">
        <f t="shared" si="0"/>
        <v>1000.0000000000009</v>
      </c>
      <c r="P15" t="s">
        <v>20</v>
      </c>
      <c r="Q15">
        <v>1000</v>
      </c>
    </row>
    <row r="16" spans="1:17" x14ac:dyDescent="0.3">
      <c r="G16">
        <v>1</v>
      </c>
      <c r="O16">
        <f t="shared" si="0"/>
        <v>999.99999999999989</v>
      </c>
      <c r="P16" t="s">
        <v>20</v>
      </c>
      <c r="Q16">
        <v>1000</v>
      </c>
    </row>
    <row r="17" spans="6:17" x14ac:dyDescent="0.3">
      <c r="H17">
        <v>1</v>
      </c>
      <c r="O17">
        <f t="shared" si="0"/>
        <v>1000</v>
      </c>
      <c r="P17" t="s">
        <v>20</v>
      </c>
      <c r="Q17">
        <v>1000</v>
      </c>
    </row>
    <row r="18" spans="6:17" x14ac:dyDescent="0.3">
      <c r="I18">
        <v>1</v>
      </c>
      <c r="O18">
        <f t="shared" si="0"/>
        <v>707.50000000000034</v>
      </c>
      <c r="P18" t="s">
        <v>20</v>
      </c>
      <c r="Q18">
        <v>1000</v>
      </c>
    </row>
    <row r="19" spans="6:17" x14ac:dyDescent="0.3">
      <c r="J19">
        <v>1</v>
      </c>
      <c r="O19">
        <f t="shared" si="0"/>
        <v>1000</v>
      </c>
      <c r="P19" t="s">
        <v>20</v>
      </c>
      <c r="Q19">
        <v>1000</v>
      </c>
    </row>
    <row r="20" spans="6:17" x14ac:dyDescent="0.3">
      <c r="K20">
        <v>1</v>
      </c>
      <c r="O20">
        <f t="shared" si="0"/>
        <v>0</v>
      </c>
      <c r="P20" t="s">
        <v>20</v>
      </c>
      <c r="Q20">
        <v>1000</v>
      </c>
    </row>
    <row r="21" spans="6:17" x14ac:dyDescent="0.3">
      <c r="L21">
        <v>1</v>
      </c>
      <c r="O21">
        <f t="shared" si="0"/>
        <v>1000</v>
      </c>
      <c r="P21" t="s">
        <v>20</v>
      </c>
      <c r="Q21">
        <v>1000</v>
      </c>
    </row>
    <row r="22" spans="6:17" x14ac:dyDescent="0.3">
      <c r="M22">
        <v>1</v>
      </c>
      <c r="O22">
        <f t="shared" si="0"/>
        <v>444.44444444444463</v>
      </c>
      <c r="P22" t="s">
        <v>20</v>
      </c>
      <c r="Q22">
        <v>1000</v>
      </c>
    </row>
    <row r="23" spans="6:17" x14ac:dyDescent="0.3">
      <c r="N23">
        <v>1</v>
      </c>
      <c r="O23">
        <f t="shared" si="0"/>
        <v>680.55555555555384</v>
      </c>
      <c r="P23" t="s">
        <v>20</v>
      </c>
      <c r="Q23">
        <v>1000</v>
      </c>
    </row>
    <row r="24" spans="6:17" x14ac:dyDescent="0.3">
      <c r="F24">
        <v>7</v>
      </c>
      <c r="I24">
        <v>14</v>
      </c>
      <c r="L24">
        <v>8</v>
      </c>
      <c r="O24">
        <f>SUMPRODUCT($C$4:$N$4,C24:N24)</f>
        <v>24905.000000000011</v>
      </c>
      <c r="P24" t="s">
        <v>22</v>
      </c>
      <c r="Q24">
        <v>25000</v>
      </c>
    </row>
    <row r="25" spans="6:17" x14ac:dyDescent="0.3">
      <c r="G25">
        <v>9</v>
      </c>
      <c r="J25">
        <v>12</v>
      </c>
      <c r="M25">
        <v>9</v>
      </c>
      <c r="O25">
        <f t="shared" ref="O25:O26" si="1">SUMPRODUCT($C$4:$N$4,C25:N25)</f>
        <v>25000</v>
      </c>
      <c r="P25" t="s">
        <v>20</v>
      </c>
      <c r="Q25">
        <v>25000</v>
      </c>
    </row>
    <row r="26" spans="6:17" x14ac:dyDescent="0.3">
      <c r="H26">
        <v>5</v>
      </c>
      <c r="K26">
        <v>18</v>
      </c>
      <c r="N26">
        <v>10</v>
      </c>
      <c r="O26">
        <f t="shared" si="1"/>
        <v>11805.555555555538</v>
      </c>
      <c r="P26" t="s">
        <v>20</v>
      </c>
      <c r="Q26">
        <v>25000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E6ED9-E27E-41D9-BCA4-F4705F524EFF}">
  <dimension ref="A1:T30"/>
  <sheetViews>
    <sheetView topLeftCell="A6" zoomScale="81" workbookViewId="0">
      <selection activeCell="O14" sqref="O14"/>
    </sheetView>
  </sheetViews>
  <sheetFormatPr defaultRowHeight="14.4" x14ac:dyDescent="0.3"/>
  <cols>
    <col min="1" max="1" width="26.88671875" bestFit="1" customWidth="1"/>
    <col min="3" max="8" width="8.88671875" bestFit="1" customWidth="1"/>
    <col min="9" max="9" width="8.88671875" customWidth="1"/>
    <col min="10" max="12" width="8.88671875" bestFit="1" customWidth="1"/>
    <col min="13" max="13" width="8.88671875" customWidth="1"/>
    <col min="14" max="15" width="8.88671875" bestFit="1" customWidth="1"/>
    <col min="16" max="17" width="8.88671875" customWidth="1"/>
    <col min="18" max="18" width="12.44140625" bestFit="1" customWidth="1"/>
    <col min="20" max="20" width="8.88671875" bestFit="1" customWidth="1"/>
  </cols>
  <sheetData>
    <row r="1" spans="1:20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23</v>
      </c>
      <c r="J1" t="s">
        <v>7</v>
      </c>
      <c r="K1" t="s">
        <v>8</v>
      </c>
      <c r="L1" t="s">
        <v>9</v>
      </c>
      <c r="M1" t="s">
        <v>24</v>
      </c>
      <c r="N1" t="s">
        <v>10</v>
      </c>
      <c r="O1" t="s">
        <v>11</v>
      </c>
      <c r="P1" t="s">
        <v>12</v>
      </c>
      <c r="Q1" t="s">
        <v>25</v>
      </c>
      <c r="T1" t="s">
        <v>13</v>
      </c>
    </row>
    <row r="2" spans="1:20" x14ac:dyDescent="0.3">
      <c r="A2" t="s">
        <v>14</v>
      </c>
      <c r="C2">
        <v>675</v>
      </c>
      <c r="D2">
        <v>450</v>
      </c>
      <c r="E2">
        <v>500</v>
      </c>
      <c r="F2">
        <v>-7</v>
      </c>
      <c r="G2">
        <v>-9</v>
      </c>
      <c r="H2">
        <v>-5</v>
      </c>
      <c r="I2">
        <v>-6</v>
      </c>
      <c r="J2">
        <v>-14</v>
      </c>
      <c r="K2">
        <v>-12</v>
      </c>
      <c r="L2">
        <v>-18</v>
      </c>
      <c r="M2">
        <v>-13</v>
      </c>
      <c r="N2">
        <v>-8</v>
      </c>
      <c r="O2">
        <v>-9</v>
      </c>
      <c r="P2">
        <v>-10</v>
      </c>
      <c r="Q2">
        <v>-9</v>
      </c>
    </row>
    <row r="4" spans="1:20" x14ac:dyDescent="0.3">
      <c r="A4" t="s">
        <v>15</v>
      </c>
      <c r="C4" s="1">
        <v>39.999999999999993</v>
      </c>
      <c r="D4" s="1">
        <v>154.16666666666686</v>
      </c>
      <c r="E4" s="1">
        <v>130</v>
      </c>
      <c r="F4" s="1">
        <v>1000.0000000000006</v>
      </c>
      <c r="G4" s="1">
        <v>999.99999999999989</v>
      </c>
      <c r="H4" s="1">
        <v>1000.0000000000001</v>
      </c>
      <c r="I4" s="1">
        <v>499.99999999999994</v>
      </c>
      <c r="J4" s="1">
        <v>499.1666666666672</v>
      </c>
      <c r="K4" s="1">
        <v>999.99999999999989</v>
      </c>
      <c r="L4" s="1">
        <v>0</v>
      </c>
      <c r="M4" s="1">
        <v>500</v>
      </c>
      <c r="N4" s="1">
        <v>1000.0000000000001</v>
      </c>
      <c r="O4" s="1">
        <v>444.4444444444452</v>
      </c>
      <c r="P4" s="1">
        <v>263.88888888888727</v>
      </c>
      <c r="Q4" s="1">
        <v>500</v>
      </c>
      <c r="S4" t="s">
        <v>16</v>
      </c>
      <c r="T4" s="2">
        <f>SUMPRODUCT(C2:Q2,C4:Q4)</f>
        <v>92747.777777777868</v>
      </c>
    </row>
    <row r="5" spans="1:20" x14ac:dyDescent="0.3">
      <c r="A5" t="s">
        <v>17</v>
      </c>
      <c r="R5" t="s">
        <v>18</v>
      </c>
      <c r="T5" t="s">
        <v>19</v>
      </c>
    </row>
    <row r="6" spans="1:20" x14ac:dyDescent="0.3">
      <c r="C6">
        <v>25</v>
      </c>
      <c r="D6">
        <v>12</v>
      </c>
      <c r="E6">
        <v>5</v>
      </c>
      <c r="F6">
        <v>-1</v>
      </c>
      <c r="G6">
        <v>-1</v>
      </c>
      <c r="H6">
        <v>-1</v>
      </c>
      <c r="I6">
        <v>-1</v>
      </c>
      <c r="R6">
        <f>SUMPRODUCT($C$4:$Q$4,C6:Q6)</f>
        <v>1.3073986337985843E-12</v>
      </c>
      <c r="S6" t="s">
        <v>16</v>
      </c>
      <c r="T6">
        <v>0</v>
      </c>
    </row>
    <row r="7" spans="1:20" x14ac:dyDescent="0.3">
      <c r="C7">
        <v>10</v>
      </c>
      <c r="D7">
        <v>7</v>
      </c>
      <c r="E7">
        <v>4</v>
      </c>
      <c r="J7">
        <v>-1</v>
      </c>
      <c r="K7">
        <v>-1</v>
      </c>
      <c r="L7">
        <v>-1</v>
      </c>
      <c r="M7">
        <v>-1</v>
      </c>
      <c r="R7">
        <f t="shared" ref="R7:R30" si="0">SUMPRODUCT($C$4:$Q$4,C7:Q7)</f>
        <v>7.9580786405131221E-13</v>
      </c>
      <c r="S7" t="s">
        <v>16</v>
      </c>
      <c r="T7">
        <v>0</v>
      </c>
    </row>
    <row r="8" spans="1:20" x14ac:dyDescent="0.3">
      <c r="C8">
        <v>15</v>
      </c>
      <c r="D8">
        <v>2</v>
      </c>
      <c r="E8">
        <v>10</v>
      </c>
      <c r="N8">
        <v>-1</v>
      </c>
      <c r="O8">
        <v>-1</v>
      </c>
      <c r="P8">
        <v>-1</v>
      </c>
      <c r="Q8">
        <v>-1</v>
      </c>
      <c r="R8">
        <f t="shared" si="0"/>
        <v>9.6633812063373625E-13</v>
      </c>
      <c r="S8" t="s">
        <v>16</v>
      </c>
      <c r="T8">
        <v>0</v>
      </c>
    </row>
    <row r="9" spans="1:20" x14ac:dyDescent="0.3">
      <c r="C9">
        <v>1</v>
      </c>
      <c r="R9">
        <f t="shared" si="0"/>
        <v>39.999999999999993</v>
      </c>
      <c r="S9" t="s">
        <v>20</v>
      </c>
      <c r="T9">
        <v>250</v>
      </c>
    </row>
    <row r="10" spans="1:20" x14ac:dyDescent="0.3">
      <c r="D10">
        <v>1</v>
      </c>
      <c r="R10">
        <f t="shared" si="0"/>
        <v>154.16666666666686</v>
      </c>
      <c r="S10" t="s">
        <v>20</v>
      </c>
      <c r="T10">
        <v>400</v>
      </c>
    </row>
    <row r="11" spans="1:20" x14ac:dyDescent="0.3">
      <c r="E11">
        <v>1</v>
      </c>
      <c r="R11">
        <f t="shared" si="0"/>
        <v>130</v>
      </c>
      <c r="S11" t="s">
        <v>20</v>
      </c>
      <c r="T11">
        <v>130</v>
      </c>
    </row>
    <row r="12" spans="1:20" x14ac:dyDescent="0.3">
      <c r="C12">
        <v>1</v>
      </c>
      <c r="R12">
        <f t="shared" si="0"/>
        <v>39.999999999999993</v>
      </c>
      <c r="S12" t="s">
        <v>21</v>
      </c>
      <c r="T12">
        <v>40</v>
      </c>
    </row>
    <row r="13" spans="1:20" x14ac:dyDescent="0.3">
      <c r="D13">
        <v>1</v>
      </c>
      <c r="R13">
        <f t="shared" si="0"/>
        <v>154.16666666666686</v>
      </c>
      <c r="S13" t="s">
        <v>21</v>
      </c>
      <c r="T13">
        <v>110</v>
      </c>
    </row>
    <row r="14" spans="1:20" x14ac:dyDescent="0.3">
      <c r="E14">
        <v>1</v>
      </c>
      <c r="R14">
        <f t="shared" si="0"/>
        <v>130</v>
      </c>
      <c r="S14" t="s">
        <v>21</v>
      </c>
      <c r="T14">
        <v>60</v>
      </c>
    </row>
    <row r="15" spans="1:20" x14ac:dyDescent="0.3">
      <c r="F15">
        <v>1</v>
      </c>
      <c r="R15">
        <f t="shared" si="0"/>
        <v>1000.0000000000006</v>
      </c>
      <c r="S15" t="s">
        <v>20</v>
      </c>
      <c r="T15">
        <v>1000</v>
      </c>
    </row>
    <row r="16" spans="1:20" x14ac:dyDescent="0.3">
      <c r="G16">
        <v>1</v>
      </c>
      <c r="R16">
        <f t="shared" si="0"/>
        <v>999.99999999999989</v>
      </c>
      <c r="S16" t="s">
        <v>20</v>
      </c>
      <c r="T16">
        <v>1000</v>
      </c>
    </row>
    <row r="17" spans="6:20" x14ac:dyDescent="0.3">
      <c r="H17">
        <v>1</v>
      </c>
      <c r="R17">
        <f t="shared" si="0"/>
        <v>1000.0000000000001</v>
      </c>
      <c r="S17" t="s">
        <v>20</v>
      </c>
      <c r="T17">
        <v>1000</v>
      </c>
    </row>
    <row r="18" spans="6:20" x14ac:dyDescent="0.3">
      <c r="I18">
        <v>1</v>
      </c>
      <c r="R18">
        <f t="shared" si="0"/>
        <v>499.99999999999994</v>
      </c>
      <c r="S18" t="s">
        <v>20</v>
      </c>
      <c r="T18">
        <v>500</v>
      </c>
    </row>
    <row r="19" spans="6:20" x14ac:dyDescent="0.3">
      <c r="J19">
        <v>1</v>
      </c>
      <c r="R19">
        <f t="shared" si="0"/>
        <v>499.1666666666672</v>
      </c>
      <c r="S19" t="s">
        <v>20</v>
      </c>
      <c r="T19">
        <v>1000</v>
      </c>
    </row>
    <row r="20" spans="6:20" x14ac:dyDescent="0.3">
      <c r="K20">
        <v>1</v>
      </c>
      <c r="R20">
        <f t="shared" si="0"/>
        <v>999.99999999999989</v>
      </c>
      <c r="S20" t="s">
        <v>20</v>
      </c>
      <c r="T20">
        <v>1000</v>
      </c>
    </row>
    <row r="21" spans="6:20" x14ac:dyDescent="0.3">
      <c r="L21">
        <v>1</v>
      </c>
      <c r="R21">
        <f t="shared" si="0"/>
        <v>0</v>
      </c>
      <c r="S21" t="s">
        <v>20</v>
      </c>
      <c r="T21">
        <v>1000</v>
      </c>
    </row>
    <row r="22" spans="6:20" x14ac:dyDescent="0.3">
      <c r="M22">
        <v>1</v>
      </c>
      <c r="R22">
        <f>SUMPRODUCT($C$4:$Q$4,C22:Q22)</f>
        <v>500</v>
      </c>
      <c r="S22" t="s">
        <v>20</v>
      </c>
      <c r="T22">
        <v>500</v>
      </c>
    </row>
    <row r="23" spans="6:20" x14ac:dyDescent="0.3">
      <c r="N23">
        <v>1</v>
      </c>
      <c r="R23">
        <f t="shared" si="0"/>
        <v>1000.0000000000001</v>
      </c>
      <c r="S23" t="s">
        <v>20</v>
      </c>
      <c r="T23">
        <v>1000</v>
      </c>
    </row>
    <row r="24" spans="6:20" x14ac:dyDescent="0.3">
      <c r="O24">
        <v>1</v>
      </c>
      <c r="R24">
        <f t="shared" si="0"/>
        <v>444.4444444444452</v>
      </c>
      <c r="S24" t="s">
        <v>20</v>
      </c>
      <c r="T24">
        <v>1000</v>
      </c>
    </row>
    <row r="25" spans="6:20" x14ac:dyDescent="0.3">
      <c r="P25">
        <v>1</v>
      </c>
      <c r="R25">
        <f t="shared" si="0"/>
        <v>263.88888888888727</v>
      </c>
      <c r="S25" t="s">
        <v>20</v>
      </c>
      <c r="T25">
        <v>1000</v>
      </c>
    </row>
    <row r="26" spans="6:20" x14ac:dyDescent="0.3">
      <c r="Q26">
        <v>1</v>
      </c>
      <c r="R26">
        <f t="shared" si="0"/>
        <v>500</v>
      </c>
      <c r="S26" t="s">
        <v>20</v>
      </c>
      <c r="T26">
        <v>500</v>
      </c>
    </row>
    <row r="27" spans="6:20" x14ac:dyDescent="0.3">
      <c r="F27">
        <v>7</v>
      </c>
      <c r="J27">
        <v>14</v>
      </c>
      <c r="N27">
        <v>8</v>
      </c>
      <c r="R27">
        <f t="shared" si="0"/>
        <v>21988.333333333347</v>
      </c>
      <c r="S27" t="s">
        <v>22</v>
      </c>
      <c r="T27">
        <v>25000</v>
      </c>
    </row>
    <row r="28" spans="6:20" x14ac:dyDescent="0.3">
      <c r="G28">
        <v>9</v>
      </c>
      <c r="K28">
        <v>12</v>
      </c>
      <c r="O28">
        <v>9</v>
      </c>
      <c r="R28">
        <f t="shared" si="0"/>
        <v>25000.000000000004</v>
      </c>
      <c r="S28" t="s">
        <v>20</v>
      </c>
      <c r="T28">
        <v>25000</v>
      </c>
    </row>
    <row r="29" spans="6:20" x14ac:dyDescent="0.3">
      <c r="H29">
        <v>5</v>
      </c>
      <c r="L29">
        <v>18</v>
      </c>
      <c r="P29">
        <v>10</v>
      </c>
      <c r="R29">
        <f t="shared" si="0"/>
        <v>7638.8888888888741</v>
      </c>
      <c r="S29" t="s">
        <v>20</v>
      </c>
      <c r="T29">
        <v>25000</v>
      </c>
    </row>
    <row r="30" spans="6:20" x14ac:dyDescent="0.3">
      <c r="I30">
        <v>6</v>
      </c>
      <c r="M30">
        <v>13</v>
      </c>
      <c r="Q30">
        <v>9</v>
      </c>
      <c r="R30">
        <f t="shared" si="0"/>
        <v>14000</v>
      </c>
      <c r="S30" t="s">
        <v>20</v>
      </c>
      <c r="T30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abc</vt:lpstr>
      <vt:lpstr>Answer Report 1 (e)</vt:lpstr>
      <vt:lpstr>Sensitivity Report 1 (e)</vt:lpstr>
      <vt:lpstr>Limits Report 1 (e)</vt:lpstr>
      <vt:lpstr>sheet1 d</vt:lpstr>
      <vt:lpstr>sheet1 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Nada Barzaiq</dc:creator>
  <cp:keywords/>
  <dc:description/>
  <cp:lastModifiedBy>Naema Mohamed Ahmed</cp:lastModifiedBy>
  <cp:revision/>
  <dcterms:created xsi:type="dcterms:W3CDTF">2025-04-27T09:29:37Z</dcterms:created>
  <dcterms:modified xsi:type="dcterms:W3CDTF">2025-05-04T10:42:18Z</dcterms:modified>
  <cp:category/>
  <cp:contentStatus/>
</cp:coreProperties>
</file>